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68149D52-2ADA-4F70-9D75-20F8072009BC}" xr6:coauthVersionLast="47" xr6:coauthVersionMax="47" xr10:uidLastSave="{00000000-0000-0000-0000-000000000000}"/>
  <bookViews>
    <workbookView xWindow="-110" yWindow="-110" windowWidth="25820" windowHeight="15500" tabRatio="500" firstSheet="1" activeTab="6" xr2:uid="{00000000-000D-0000-FFFF-FFFF00000000}"/>
  </bookViews>
  <sheets>
    <sheet name="Ringkasan" sheetId="1" r:id="rId1"/>
    <sheet name="November 2025" sheetId="2" r:id="rId2"/>
    <sheet name="Desember 2025" sheetId="3" r:id="rId3"/>
    <sheet name="Januari 2026" sheetId="4" r:id="rId4"/>
    <sheet name="Februari 2026" sheetId="5" r:id="rId5"/>
    <sheet name="Maret 2026" sheetId="6" r:id="rId6"/>
    <sheet name="April 2026" sheetId="7" r:id="rId7"/>
    <sheet name="Legenda Kategor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5" i="7" l="1"/>
  <c r="E42" i="7"/>
  <c r="E31" i="7"/>
  <c r="E19" i="7"/>
  <c r="E57" i="7" s="1"/>
  <c r="E88" i="6"/>
  <c r="E47" i="6"/>
  <c r="E38" i="6"/>
  <c r="E23" i="6"/>
  <c r="E90" i="6" s="1"/>
  <c r="E61" i="5"/>
  <c r="E53" i="5"/>
  <c r="E45" i="5"/>
  <c r="E18" i="5"/>
  <c r="E63" i="5" s="1"/>
  <c r="E79" i="4"/>
  <c r="E76" i="4"/>
  <c r="E73" i="4"/>
  <c r="E29" i="4"/>
  <c r="E81" i="4" s="1"/>
  <c r="E23" i="3"/>
  <c r="E18" i="3"/>
  <c r="E16" i="3"/>
  <c r="E12" i="3"/>
  <c r="E25" i="3" s="1"/>
  <c r="E62" i="2"/>
  <c r="E54" i="2"/>
  <c r="E48" i="2"/>
  <c r="E16" i="2"/>
  <c r="E64" i="2" s="1"/>
  <c r="C67" i="1"/>
  <c r="I65" i="1"/>
  <c r="H65" i="1"/>
  <c r="G65" i="1"/>
  <c r="F65" i="1"/>
  <c r="E65" i="1"/>
  <c r="D65" i="1"/>
  <c r="C65" i="1"/>
  <c r="I64" i="1"/>
  <c r="I63" i="1"/>
  <c r="H60" i="1"/>
  <c r="G60" i="1"/>
  <c r="F60" i="1"/>
  <c r="I60" i="1" s="1"/>
  <c r="E60" i="1"/>
  <c r="D60" i="1"/>
  <c r="C60" i="1"/>
  <c r="I59" i="1"/>
  <c r="I58" i="1"/>
  <c r="I57" i="1"/>
  <c r="H54" i="1"/>
  <c r="H67" i="1" s="1"/>
  <c r="G54" i="1"/>
  <c r="F54" i="1"/>
  <c r="E54" i="1"/>
  <c r="I54" i="1" s="1"/>
  <c r="D54" i="1"/>
  <c r="C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H38" i="1"/>
  <c r="G38" i="1"/>
  <c r="G67" i="1" s="1"/>
  <c r="F38" i="1"/>
  <c r="F67" i="1" s="1"/>
  <c r="E38" i="1"/>
  <c r="D38" i="1"/>
  <c r="D67" i="1" s="1"/>
  <c r="C38" i="1"/>
  <c r="I38" i="1" s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67" i="1" l="1"/>
  <c r="E67" i="1"/>
</calcChain>
</file>

<file path=xl/sharedStrings.xml><?xml version="1.0" encoding="utf-8"?>
<sst xmlns="http://schemas.openxmlformats.org/spreadsheetml/2006/main" count="1456" uniqueCount="368">
  <si>
    <t>RINGKASAN PENGELUARAN KARTU KREDIT ZENPLAY</t>
  </si>
  <si>
    <t>Periode: November 2025 – April 2026 | Pemisahan: Pengeluaran Tetap vs Variabel</t>
  </si>
  <si>
    <t>Kategori</t>
  </si>
  <si>
    <t>Sub-kategori</t>
  </si>
  <si>
    <t>November 2025</t>
  </si>
  <si>
    <t>Desember 2025</t>
  </si>
  <si>
    <t>Januari 2026</t>
  </si>
  <si>
    <t>Februari 2026</t>
  </si>
  <si>
    <t>Maret 2026</t>
  </si>
  <si>
    <t>April 2026 (s/d 16 Apr)</t>
  </si>
  <si>
    <t>Total 6 Bulan</t>
  </si>
  <si>
    <t>PENGELUARAN TETAP</t>
  </si>
  <si>
    <t>Uang Capek Bulanan (Gaji Ops)</t>
  </si>
  <si>
    <t>AWS Server (Bulanan)</t>
  </si>
  <si>
    <t>Revid AI (Bulanan)</t>
  </si>
  <si>
    <t>Cloudflare (Bulanan)</t>
  </si>
  <si>
    <t>Live Chat Software (Bulanan)</t>
  </si>
  <si>
    <t>Keitaro Ads Tracker (Bulanan)</t>
  </si>
  <si>
    <t>VPN (Bulanan)</t>
  </si>
  <si>
    <t>Langganan NameBio (Bulanan)</t>
  </si>
  <si>
    <t>Trysoro AI Artikel (Bulanan)</t>
  </si>
  <si>
    <t>VMachines Server (Bulanan)</t>
  </si>
  <si>
    <t>Badge Protection</t>
  </si>
  <si>
    <t>Vultr Server (Bulanan)</t>
  </si>
  <si>
    <t>Midjourney AI (Bulanan)</t>
  </si>
  <si>
    <t>Ideogram AI (Bulanan)</t>
  </si>
  <si>
    <t>T.ly URL Shortener (Bulanan)</t>
  </si>
  <si>
    <t>Digital Ocean Server</t>
  </si>
  <si>
    <t>Grok xAI (Bulanan)</t>
  </si>
  <si>
    <t>Canva (Bulanan)</t>
  </si>
  <si>
    <t>OVHcloud Server (Bulanan)</t>
  </si>
  <si>
    <t>Opus Clip (Bulanan)</t>
  </si>
  <si>
    <t>Cursor AI (Bulanan)</t>
  </si>
  <si>
    <t>Mol Dimeris AI (Bulanan)</t>
  </si>
  <si>
    <t>Polar SEO</t>
  </si>
  <si>
    <t>AlexHost Server</t>
  </si>
  <si>
    <t>PayPro Europe</t>
  </si>
  <si>
    <t>LemonSqueezy (Bulanan)</t>
  </si>
  <si>
    <t>Paddle Heylink (Bulanan)</t>
  </si>
  <si>
    <t>IsHosting Server</t>
  </si>
  <si>
    <t>Anthropic Claude (Bulanan)</t>
  </si>
  <si>
    <t>ZeroSSL Certificate</t>
  </si>
  <si>
    <t>Predis AI</t>
  </si>
  <si>
    <t>Star Cluster Video AI</t>
  </si>
  <si>
    <t>Subtotal PENGELUARAN TETAP</t>
  </si>
  <si>
    <t>PENGELUARAN VARIABEL</t>
  </si>
  <si>
    <t>Pembelian Domain</t>
  </si>
  <si>
    <t>FS Index (SEO Indexing)</t>
  </si>
  <si>
    <t>SEO/Backlink Service (Kwork)</t>
  </si>
  <si>
    <t>Beli Shell</t>
  </si>
  <si>
    <t>Backlink</t>
  </si>
  <si>
    <t>Pulsa / Nomor HP</t>
  </si>
  <si>
    <t>Press Release</t>
  </si>
  <si>
    <t>PayPal (SEO/Backlink)</t>
  </si>
  <si>
    <t>Software/Tools</t>
  </si>
  <si>
    <t>SEO/Traffic (Fiverr)</t>
  </si>
  <si>
    <t>Beli Akun IG</t>
  </si>
  <si>
    <t>Google Services</t>
  </si>
  <si>
    <t>WeChat Topup</t>
  </si>
  <si>
    <t>Subtotal PENGELUARAN VARIABEL</t>
  </si>
  <si>
    <t>BIAYA BANK</t>
  </si>
  <si>
    <t>Biaya Administrasi Kartu</t>
  </si>
  <si>
    <t>Biaya Kekurangan Saldo</t>
  </si>
  <si>
    <t>Pajak Bunga</t>
  </si>
  <si>
    <t>Subtotal BIAYA BANK</t>
  </si>
  <si>
    <t>TRANSFER KELUAR</t>
  </si>
  <si>
    <t>Kirim Antar Kartu/Rek</t>
  </si>
  <si>
    <t>WD Manual / Pinjaman</t>
  </si>
  <si>
    <t>Subtotal TRANSFER KELUAR</t>
  </si>
  <si>
    <t>GRAND TOTAL PENGELUARAN</t>
  </si>
  <si>
    <t>DETAIL PENGELUARAN — November 2025</t>
  </si>
  <si>
    <t>Tanggal</t>
  </si>
  <si>
    <t>Keterangan</t>
  </si>
  <si>
    <t>Nominal</t>
  </si>
  <si>
    <t>2025-11-02</t>
  </si>
  <si>
    <t>AWS EMEA</t>
  </si>
  <si>
    <t>2025-11-13</t>
  </si>
  <si>
    <t>NO BADGE PROTECTION</t>
  </si>
  <si>
    <t>2025-11-11</t>
  </si>
  <si>
    <t>CANVA</t>
  </si>
  <si>
    <t>2025-11-04</t>
  </si>
  <si>
    <t>CLOUDFARE</t>
  </si>
  <si>
    <t>2025-11-29</t>
  </si>
  <si>
    <t>DIGITAL OCEAN COM</t>
  </si>
  <si>
    <t>2025-11-28</t>
  </si>
  <si>
    <t>NAMEBIO</t>
  </si>
  <si>
    <t>2025-11-09</t>
  </si>
  <si>
    <t>TEXT INC (LIVE CHAT)</t>
  </si>
  <si>
    <t>2025-11-08</t>
  </si>
  <si>
    <t>PERSONAL PLAN TLY</t>
  </si>
  <si>
    <t>2025-11-30</t>
  </si>
  <si>
    <t>1NOV25 - 30NOV25</t>
  </si>
  <si>
    <t>2025-11-12</t>
  </si>
  <si>
    <t>ZEROSSL</t>
  </si>
  <si>
    <t>ZEROSSL*ZEROSSL</t>
  </si>
  <si>
    <t>BELI SHELL GOID</t>
  </si>
  <si>
    <t>GOOGLE *TEMPORARY</t>
  </si>
  <si>
    <t>2025-11-03</t>
  </si>
  <si>
    <t>DNH GO DADDY AMSTERDAM</t>
  </si>
  <si>
    <t>DNH GODADDY IDR (Subscription Auction)</t>
  </si>
  <si>
    <t>SUBRSCRIBE GO DADDY AUCTION</t>
  </si>
  <si>
    <t>2025-11-05</t>
  </si>
  <si>
    <t>DNH GODADDY IDR 2 Expired Domain (health-helper, phonelegal)</t>
  </si>
  <si>
    <t>BELI 2 EXPIRED DOMAIN (HEALTH-HELPER,PHONELEGAL)</t>
  </si>
  <si>
    <t>2025-11-06</t>
  </si>
  <si>
    <t>DNH GODADDY IDR</t>
  </si>
  <si>
    <t>DNH GODADDY AMSTERDAM</t>
  </si>
  <si>
    <t>2025-11-07</t>
  </si>
  <si>
    <t>2025-11-10</t>
  </si>
  <si>
    <t>2025-11-19</t>
  </si>
  <si>
    <t>IDWEBHOST YOGYAKARTA</t>
  </si>
  <si>
    <t>2025-11-20</t>
  </si>
  <si>
    <t>2025-11-23</t>
  </si>
  <si>
    <t>2025-11-24</t>
  </si>
  <si>
    <t>NAME CHEAP COM</t>
  </si>
  <si>
    <t>beli hostinger</t>
  </si>
  <si>
    <t>BELI KARTU CAMBODIA ( CELLCARD 017516763 &amp; CAM ID 0313194862 )</t>
  </si>
  <si>
    <t>ISI PULSA CELLARD &amp; CAM ID (UNTK JAGA MASA AKTIF)</t>
  </si>
  <si>
    <t>2025-11-18</t>
  </si>
  <si>
    <t>ISI PULSA CAM ID (UNTK JAGA MASA AKTIF)</t>
  </si>
  <si>
    <t>ISI PULSA XL 087874721240 (UNTUK BELI MASA AKTIF)</t>
  </si>
  <si>
    <t>ISI PULSA CELLARD 017 516 763 (UNTK JAGA MASA AKTIF)</t>
  </si>
  <si>
    <t>2025-11-16</t>
  </si>
  <si>
    <t>KWOR/SUPERWORK</t>
  </si>
  <si>
    <t>PJ/KWORK COM</t>
  </si>
  <si>
    <t>PEMBUATAN KARTU DEBIT</t>
  </si>
  <si>
    <t>BIAYA KEKURANGAN SALDO</t>
  </si>
  <si>
    <t>PAJAK BUNGA</t>
  </si>
  <si>
    <t>PINJAM RP KIRIM KE EDI SYAHPUTRA</t>
  </si>
  <si>
    <t>PINJAM RP UNTUK BELI SHELL</t>
  </si>
  <si>
    <t>2025-11-22</t>
  </si>
  <si>
    <t>PINJAM RP UNTUK BIAYA BACKLINK</t>
  </si>
  <si>
    <t>PINJAM RP UNTUK BELI 82 ACID</t>
  </si>
  <si>
    <t>PINJAM RP UNTUK BELI 2 DOMAIN GOID</t>
  </si>
  <si>
    <t>PINJAM RP UNTUK BIAYA BACKLINK RENRAGS DAN XERY NET</t>
  </si>
  <si>
    <t>GRAND TOTAL</t>
  </si>
  <si>
    <t>DETAIL PENGELUARAN — Desember 2025</t>
  </si>
  <si>
    <t>2025-12-05</t>
  </si>
  <si>
    <t>AWS EMEA (AMAZON)</t>
  </si>
  <si>
    <t>2025-12-13</t>
  </si>
  <si>
    <t>2025-12-11</t>
  </si>
  <si>
    <t>2025-12-28</t>
  </si>
  <si>
    <t>2025-12-09</t>
  </si>
  <si>
    <t>2025-12-08</t>
  </si>
  <si>
    <t>2025-12-31</t>
  </si>
  <si>
    <t>1DES25 - 31DES25</t>
  </si>
  <si>
    <t>2025-12-03</t>
  </si>
  <si>
    <t>VMACHINES WIN VPS</t>
  </si>
  <si>
    <t>BELI IG 2 PCS</t>
  </si>
  <si>
    <t>2025-12-07</t>
  </si>
  <si>
    <t>ISI PULSA CELLCARD (UNTK JAGA MASA AKTIF)</t>
  </si>
  <si>
    <t>2025-12-24</t>
  </si>
  <si>
    <t>KIRIM KE SISCA ANDRIANI ( BAYAR ATAS (KARDUS))</t>
  </si>
  <si>
    <t>2025-12-18</t>
  </si>
  <si>
    <t>KIRIM KE HENDRA (BRI) BON KARDUS</t>
  </si>
  <si>
    <t>2025-12-27</t>
  </si>
  <si>
    <t>WD MANUAL KARENA SISTEM TDK SUPPORTED E-WALLET DANA</t>
  </si>
  <si>
    <t>DETAIL PENGELUARAN — Januari 2026</t>
  </si>
  <si>
    <t>2026-01-07</t>
  </si>
  <si>
    <t>2026-01-29</t>
  </si>
  <si>
    <t>ANTHROPIC ( LANGGANAN AI )</t>
  </si>
  <si>
    <t>2026-01-13</t>
  </si>
  <si>
    <t>2026-01-11</t>
  </si>
  <si>
    <t>2026-01-16</t>
  </si>
  <si>
    <t>CLOUDFLARE</t>
  </si>
  <si>
    <t>2026-01-20</t>
  </si>
  <si>
    <t>BELI DIGITAL OCEAN 200$</t>
  </si>
  <si>
    <t>TAMBAH PEMBAYARAN BELI DIGITAL OCEAN</t>
  </si>
  <si>
    <t>2026-01-30</t>
  </si>
  <si>
    <t>ISHOSTING ( LANGGANAN SERVER )</t>
  </si>
  <si>
    <t>2026-01-28</t>
  </si>
  <si>
    <t>NAME BIO</t>
  </si>
  <si>
    <t>2026-01-09</t>
  </si>
  <si>
    <t>LIVE CHAT ZENPLAY168</t>
  </si>
  <si>
    <t>MIDJOURNEY</t>
  </si>
  <si>
    <t>MIDJOURNEY INC</t>
  </si>
  <si>
    <t>2026-01-19</t>
  </si>
  <si>
    <t>OVH cloud</t>
  </si>
  <si>
    <t>2026-01-24</t>
  </si>
  <si>
    <t>PADDLE NET HEYLINK</t>
  </si>
  <si>
    <t>2026-01-15</t>
  </si>
  <si>
    <t>PAYPRO EUROPE LIMITED</t>
  </si>
  <si>
    <t>STAR CLUSTER PTE ( LANGGANAN VIDEO AI )</t>
  </si>
  <si>
    <t>2026-01-08</t>
  </si>
  <si>
    <t>PERSONAL PLAN T LY</t>
  </si>
  <si>
    <t>2026-01-25</t>
  </si>
  <si>
    <t>TRYSORO</t>
  </si>
  <si>
    <t>2026-01-31</t>
  </si>
  <si>
    <t>1JAN26 - 31JAN26</t>
  </si>
  <si>
    <t>2026-01-17</t>
  </si>
  <si>
    <t>CKM .NORD ( VPN)</t>
  </si>
  <si>
    <t>BIAYA BACKLINK</t>
  </si>
  <si>
    <t>2026-01-06</t>
  </si>
  <si>
    <t>BELI IG 1 PCS</t>
  </si>
  <si>
    <t>GNAME COM</t>
  </si>
  <si>
    <t>NAME-CHEAP COM</t>
  </si>
  <si>
    <t>DNH*GODADDY IDR</t>
  </si>
  <si>
    <t>2026-01-12</t>
  </si>
  <si>
    <t>2026-01-14</t>
  </si>
  <si>
    <t>NAME-CHEAP COM*BJAWOP</t>
  </si>
  <si>
    <t>WEB*NAMEJET</t>
  </si>
  <si>
    <t>WEB*SNAPNAMES COM</t>
  </si>
  <si>
    <t>2026-01-21</t>
  </si>
  <si>
    <t>2026-01-22</t>
  </si>
  <si>
    <t>DNH* GODADDY COM</t>
  </si>
  <si>
    <t>DYNADOT ORDER</t>
  </si>
  <si>
    <t>2026-01-23</t>
  </si>
  <si>
    <t>DNH GODADDY COM IDR</t>
  </si>
  <si>
    <t>HOSTINGER</t>
  </si>
  <si>
    <t>2026-01-27</t>
  </si>
  <si>
    <t>NAME CHEAP</t>
  </si>
  <si>
    <t>DNH GODADDY COM IDR ( BELI DOMAIN )</t>
  </si>
  <si>
    <t>DNH GODADDY IDR ( BELI DOMAIN )</t>
  </si>
  <si>
    <t>NAME CHEAP ( BELI LINK ALTERNATIF )</t>
  </si>
  <si>
    <t>EINPRESSWIRE COM</t>
  </si>
  <si>
    <t>ISI PULSA METFONE (UNTK JAGA MASA AKTIF)</t>
  </si>
  <si>
    <t>BELI KARTU CELLCARD &amp; VOUCHER CELLCARD</t>
  </si>
  <si>
    <t>2026-01-26</t>
  </si>
  <si>
    <t>SUPERKWORK</t>
  </si>
  <si>
    <t>KWORK (BUAT BACKLINK)</t>
  </si>
  <si>
    <t>2026-01-02</t>
  </si>
  <si>
    <t>2026-01-04</t>
  </si>
  <si>
    <t>DETAIL PENGELUARAN — Februari 2026</t>
  </si>
  <si>
    <t>2026-02-18</t>
  </si>
  <si>
    <t>AWS EMEA ( BIAYA SERVER )</t>
  </si>
  <si>
    <t>2026-02-13</t>
  </si>
  <si>
    <t>NO-BADGE PROTECTION</t>
  </si>
  <si>
    <t>2026-02-11</t>
  </si>
  <si>
    <t>2026-02-03</t>
  </si>
  <si>
    <t>KEITARO (LANGGANAN SOFTWARE TRACKING ADS )</t>
  </si>
  <si>
    <t>2026-02-28</t>
  </si>
  <si>
    <t>2026-02-09</t>
  </si>
  <si>
    <t>2026-02-19</t>
  </si>
  <si>
    <t>OVHcloud SINGAPORE</t>
  </si>
  <si>
    <t>2026-02-24</t>
  </si>
  <si>
    <t>2026-02-25</t>
  </si>
  <si>
    <t>REVID ( SUBSCRIPTE AI )</t>
  </si>
  <si>
    <t>2026-02-08</t>
  </si>
  <si>
    <t>TRYSORO ( LANGGANAN AI ARTIKEL )</t>
  </si>
  <si>
    <t>1FEB26 - 28FEB26</t>
  </si>
  <si>
    <t>2026-02-02</t>
  </si>
  <si>
    <t>VMACHINES WIN ( BAYAR SERVER )</t>
  </si>
  <si>
    <t>VULTR BY CONSTANT ( BAYAR SERVER ADS )</t>
  </si>
  <si>
    <t>NAME CHEAP ( BELI 20 DOMAIN PROMOSI )</t>
  </si>
  <si>
    <t>2026-02-04</t>
  </si>
  <si>
    <t>HOSTINGER ( BELI DOMAIN LINK ALTERNATIF )</t>
  </si>
  <si>
    <t>2026-02-05</t>
  </si>
  <si>
    <t>DYNADOT ORDER ( BELI DOMAIN )</t>
  </si>
  <si>
    <t>NAME CHEAP ( BELI DOMAIN ADS )</t>
  </si>
  <si>
    <t>2026-02-06</t>
  </si>
  <si>
    <t>2026-02-10</t>
  </si>
  <si>
    <t>HOSTINGER ( BELI DOMAIN UNTUK PROMOSI )</t>
  </si>
  <si>
    <t>2026-02-12</t>
  </si>
  <si>
    <t>2026-02-17</t>
  </si>
  <si>
    <t>2026-02-21</t>
  </si>
  <si>
    <t>2026-02-07</t>
  </si>
  <si>
    <t>KWOR SUPERWORK</t>
  </si>
  <si>
    <t>2026-02-15</t>
  </si>
  <si>
    <t>KWOR SUPERWORK ( BELI TRAFFIC )</t>
  </si>
  <si>
    <t>FIVERR ( BELI TRAFFIC )</t>
  </si>
  <si>
    <t>WECHAT INTERNATIONAL</t>
  </si>
  <si>
    <t>2026-02-14</t>
  </si>
  <si>
    <t>KIRIM KE HENDRA (BRI) BIAYA BACKLINK</t>
  </si>
  <si>
    <t>2026-02-16</t>
  </si>
  <si>
    <t>DIN SEABANK KIRIM KE DIN SYAMSUDIN ( SEABANK ) KEPERLUAN SEO + BELI PC</t>
  </si>
  <si>
    <t>KIRIM KE HENDRA (BRI) BELI TOOLS MARKETING</t>
  </si>
  <si>
    <t>2026-02-27</t>
  </si>
  <si>
    <t>DETAIL PENGELUARAN — Maret 2026</t>
  </si>
  <si>
    <t>2026-03-13</t>
  </si>
  <si>
    <t>AWS EMEA ( BELI SERVER )</t>
  </si>
  <si>
    <t>2026-03-22</t>
  </si>
  <si>
    <t>ALEXHOST ( BELI SERVER )</t>
  </si>
  <si>
    <t>2026-03-11</t>
  </si>
  <si>
    <t>2026-03-26</t>
  </si>
  <si>
    <t>GROK XAI ( LANGGANAN AI )</t>
  </si>
  <si>
    <t>2026-03-05</t>
  </si>
  <si>
    <t>KEITARO ( LANGGANAN SOFTWARE ADS )</t>
  </si>
  <si>
    <t>2026-03-28</t>
  </si>
  <si>
    <t>2026-03-09</t>
  </si>
  <si>
    <t>TEXT INC ( BAYAR LIVECHAT )</t>
  </si>
  <si>
    <t>2026-03-03</t>
  </si>
  <si>
    <t>OVHcloud</t>
  </si>
  <si>
    <t>2026-03-25</t>
  </si>
  <si>
    <t>2026-03-31</t>
  </si>
  <si>
    <t>POLAR ( LANGGANAN SEO )</t>
  </si>
  <si>
    <t>PREDIS AI</t>
  </si>
  <si>
    <t>REVID ( PEMBELIAN VIDEO AI )</t>
  </si>
  <si>
    <t>2026-03-24</t>
  </si>
  <si>
    <t>REVID ( PEMBELIAN KREDIT AI )</t>
  </si>
  <si>
    <t>2026-03-08</t>
  </si>
  <si>
    <t>2026-03-02</t>
  </si>
  <si>
    <t>VMACHINES</t>
  </si>
  <si>
    <t>VULTR BY CONSTANT ( BIAYA SERVER )</t>
  </si>
  <si>
    <t>2026-03-01</t>
  </si>
  <si>
    <t>FS Index ( LANGGANAN LINK INDEXING )</t>
  </si>
  <si>
    <t>2026-03-30</t>
  </si>
  <si>
    <t>FS Index ( BIAYA KEPERLUAN SEO )</t>
  </si>
  <si>
    <t>GOOGLE TEMPORARY</t>
  </si>
  <si>
    <t>Google Telegram</t>
  </si>
  <si>
    <t>2026-03-04</t>
  </si>
  <si>
    <t>PAYPAL ( BELI BACKLINK )</t>
  </si>
  <si>
    <t>2026-03-18</t>
  </si>
  <si>
    <t>2026-03-21</t>
  </si>
  <si>
    <t>VULTR BY CONSTANT (BELI NAMECHEAP)</t>
  </si>
  <si>
    <t>HOSTINGER ( BELI DOMAIN )</t>
  </si>
  <si>
    <t>HOSTINGER ( BELI DOMAIN SPAM )</t>
  </si>
  <si>
    <t>2026-03-19</t>
  </si>
  <si>
    <t>NUMERO ESIM ( BELI NO HP )</t>
  </si>
  <si>
    <t>2026-03-20</t>
  </si>
  <si>
    <t>STEALTH CODE LTD</t>
  </si>
  <si>
    <t>2026-03-06</t>
  </si>
  <si>
    <t>KIRIM KE HENDRA (BRI) BELI BACKLINK</t>
  </si>
  <si>
    <t>CONVERT USD 200,20 ==&gt;&gt; IDR FNG -Rp 3.383.380 Us$ 200,20 USD200,20 x 16,900 13 M</t>
  </si>
  <si>
    <t>2026-03-16</t>
  </si>
  <si>
    <t>DIN SEABANK KIRIM KE DIN SYAMSUDIN ( SEABANK ) = SEO2</t>
  </si>
  <si>
    <t>DIN SEABANK KIRIM KE DIN SYAMSUDIN ( SEABANK ) = BIAYA SEL</t>
  </si>
  <si>
    <t>2026-03-29</t>
  </si>
  <si>
    <t>2026-03-07</t>
  </si>
  <si>
    <t>2026-03-23</t>
  </si>
  <si>
    <t>2026-03-27</t>
  </si>
  <si>
    <t>DETAIL PENGELUARAN — April 2026 (s/d 16 Apr)</t>
  </si>
  <si>
    <t>2026-04-13</t>
  </si>
  <si>
    <t>2026-04-12</t>
  </si>
  <si>
    <t>CURSOR AI ( LANGGANAN TOOLS AI CODING )</t>
  </si>
  <si>
    <t>PEMBAYARAN IDEOGRAM AI-PRO PLAN</t>
  </si>
  <si>
    <t>2026-04-06</t>
  </si>
  <si>
    <t>KEITARO ( PERPANJANG LANGGANAN ADS )</t>
  </si>
  <si>
    <t>2026-04-10</t>
  </si>
  <si>
    <t>LEMSQZY ( LANGGANAN TOOLS AI )</t>
  </si>
  <si>
    <t>2026-04-11</t>
  </si>
  <si>
    <t>TEXT INC ( BIAYA LIVECHAT )</t>
  </si>
  <si>
    <t>MOL DIMERIS ( LANGGANAN AI GAMBAR )</t>
  </si>
  <si>
    <t>2026-04-02</t>
  </si>
  <si>
    <t>2026-04-16</t>
  </si>
  <si>
    <t>OPUS CLIP ( TOOLS AI VIDEO )</t>
  </si>
  <si>
    <t>REVID AI</t>
  </si>
  <si>
    <t>2026-04-08</t>
  </si>
  <si>
    <t>2026-04-01</t>
  </si>
  <si>
    <t>1MAR26 - 31MAR26</t>
  </si>
  <si>
    <t>SM NORD ( BELI VPN )</t>
  </si>
  <si>
    <t>2026-04-14</t>
  </si>
  <si>
    <t>PAYPAL (BIAYA SEO )</t>
  </si>
  <si>
    <t>2026-04-03</t>
  </si>
  <si>
    <t>PERPANJANG DOMAIN</t>
  </si>
  <si>
    <t>NAME CHEAP ( BELI DOMAIN )</t>
  </si>
  <si>
    <t>2026-04-04</t>
  </si>
  <si>
    <t>CANVA (BELI NAMECHEAP)</t>
  </si>
  <si>
    <t>2026-04-15</t>
  </si>
  <si>
    <t>NAME CHEAP ( TOP UP LICENSE AQUILA )</t>
  </si>
  <si>
    <t>NAME CHEAP ( SETUP DOMAIN HOTSPOT88 )</t>
  </si>
  <si>
    <t>BIAYA PEMBUATAN KARTU</t>
  </si>
  <si>
    <t>2026-04-09</t>
  </si>
  <si>
    <t>KIRIM KE BLU BCA BELLA GABRIELA ( BIAYA BANNER )</t>
  </si>
  <si>
    <t>2026-04-05</t>
  </si>
  <si>
    <t>KIRIM KE KARTU AQUILA</t>
  </si>
  <si>
    <t>DIN SEABANK KIRIM KE DIN SYAMSUDIN ( SEABANK ) = GAJI SHELL</t>
  </si>
  <si>
    <t>KIRIM KE BANKJAGO ANDRIANO</t>
  </si>
  <si>
    <t>LEGENDA: JENIS PENGELUARAN &amp; KOMPONEN</t>
  </si>
  <si>
    <t>Deskripsi</t>
  </si>
  <si>
    <t>Contoh Komponen</t>
  </si>
  <si>
    <t>Biaya yang muncul rutin setiap bulan (recurring) dengan nominal relatif stabil. Termasuk: server, langganan tools AI/SaaS, VPN, live chat, URL shortener, gaji operasional (uang capek).</t>
  </si>
  <si>
    <t>AWS, Cloudflare, Vultr, OVHcloud, Canva, Midjourney, Anthropic, Cursor AI, Keitaro, T.ly Personal Plan, Text Inc (Live Chat), NordVPN, Uang Capek Bulanan, NameBio, Paddle Heylink, Badge Protection</t>
  </si>
  <si>
    <t>Biaya yang jumlah &amp; frekuensinya berubah tiap bulan, tergantung kebutuhan operasional. Didominasi pembelian domain dan biaya SEO/marketing.</t>
  </si>
  <si>
    <t>GoDaddy, NameCheap, Dynadot, Hostinger, IDWebHost, GName (domain); Kwork, Fiverr, FS Index, PayPal (backlink/SEO); Fiverr (traffic); Pulsa / Nomor HP / eSIM; Press Release (EinPressWire)</t>
  </si>
  <si>
    <t>Biaya administrasi dari bank / penerbit kartu yang bukan untuk operasional bisnis.</t>
  </si>
  <si>
    <t>Biaya Kekurangan Saldo, Pajak Bunga, Biaya Pembuatan Kartu, Biaya Administrasi</t>
  </si>
  <si>
    <t>Perpindahan dana — baik antar kartu sendiri, pinjaman ke pihak lain, atau WD manual karena sistem tidak mendukung e-wallet DANA. Bukan pengeluaran bisnis murni.</t>
  </si>
  <si>
    <t>WD Manual (DANA), Kirim ke Hendra (BRI) untuk backlink, Kirim ke Din Syamsudin, Kirim antar kartu (Utama ↔ Aquila), Pinjaman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</si>
</sst>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&quot;Rp&quot;#,##0.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CE4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6" fillId="0" borderId="1" xfId="0" applyFont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8" borderId="1" xfId="0" applyFont="1" applyFill="1" applyBorder="1"/>
    <xf numFmtId="0" fontId="0" fillId="8" borderId="1" xfId="0" applyFill="1" applyBorder="1"/>
    <xf numFmtId="0" fontId="8" fillId="2" borderId="1" xfId="0" applyFont="1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top" wrapText="1"/>
    </xf>
    <xf numFmtId="165" fontId="0" fillId="0" borderId="1" xfId="0" applyNumberForma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165" fontId="0" fillId="6" borderId="1" xfId="0" applyNumberFormat="1" applyFill="1" applyBorder="1"/>
    <xf numFmtId="165" fontId="0" fillId="7" borderId="1" xfId="0" applyNumberFormat="1" applyFill="1" applyBorder="1"/>
    <xf numFmtId="165" fontId="0" fillId="0" borderId="0" xfId="0" applyNumberFormat="1"/>
    <xf numFmtId="165" fontId="0" fillId="8" borderId="1" xfId="0" applyNumberFormat="1" applyFill="1" applyBorder="1"/>
    <xf numFmtId="165" fontId="8" fillId="2" borderId="1" xfId="0" applyNumberFormat="1" applyFont="1" applyFill="1" applyBorder="1" applyAlignment="1">
      <alignment horizontal="right"/>
    </xf>
    <xf numFmtId="44" fontId="1" fillId="0" borderId="1" xfId="1" applyBorder="1" applyAlignment="1">
      <alignment horizontal="center" vertical="center"/>
    </xf>
    <xf numFmtId="44" fontId="1" fillId="0" borderId="1" xfId="1" applyBorder="1" applyAlignment="1">
      <alignment horizontal="right"/>
    </xf>
    <xf numFmtId="44" fontId="1" fillId="0" borderId="1" xfId="1" applyBorder="1"/>
    <xf numFmtId="44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zoomScaleNormal="100" workbookViewId="0">
      <pane xSplit="2" ySplit="4" topLeftCell="C44" activePane="bottomRight" state="frozen"/>
      <selection pane="topRight" activeCell="C1" sqref="C1"/>
      <selection pane="bottomLeft" activeCell="A5" sqref="A5"/>
      <selection pane="bottomRight" activeCell="J59" sqref="J59"/>
    </sheetView>
  </sheetViews>
  <sheetFormatPr defaultColWidth="8.6328125" defaultRowHeight="14.5" x14ac:dyDescent="0.35"/>
  <cols>
    <col min="1" max="1" width="28" customWidth="1"/>
    <col min="2" max="2" width="38" customWidth="1"/>
    <col min="3" max="8" width="19.7265625" customWidth="1"/>
    <col min="9" max="9" width="22.26953125" customWidth="1"/>
  </cols>
  <sheetData>
    <row r="1" spans="1:9" ht="30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39.7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">
        <v>11</v>
      </c>
      <c r="B5" s="5"/>
      <c r="C5" s="5"/>
      <c r="D5" s="5"/>
      <c r="E5" s="5"/>
      <c r="F5" s="5"/>
      <c r="G5" s="5"/>
      <c r="H5" s="5"/>
      <c r="I5" s="5"/>
    </row>
    <row r="6" spans="1:9" x14ac:dyDescent="0.35">
      <c r="A6" s="5"/>
      <c r="B6" s="6" t="s">
        <v>12</v>
      </c>
      <c r="C6" s="21">
        <v>4000000</v>
      </c>
      <c r="D6" s="21">
        <v>4000000</v>
      </c>
      <c r="E6" s="21">
        <v>4000000</v>
      </c>
      <c r="F6" s="21">
        <v>4000000</v>
      </c>
      <c r="G6" s="21"/>
      <c r="H6" s="21">
        <v>4000000</v>
      </c>
      <c r="I6" s="22">
        <f t="shared" ref="I6:I38" si="0">SUM(C6:H6)</f>
        <v>20000000</v>
      </c>
    </row>
    <row r="7" spans="1:9" x14ac:dyDescent="0.35">
      <c r="A7" s="5"/>
      <c r="B7" s="6" t="s">
        <v>13</v>
      </c>
      <c r="C7" s="21">
        <v>736224</v>
      </c>
      <c r="D7" s="21">
        <v>2634231</v>
      </c>
      <c r="E7" s="21">
        <v>5243349</v>
      </c>
      <c r="F7" s="21">
        <v>4967750</v>
      </c>
      <c r="G7" s="21">
        <v>2835511</v>
      </c>
      <c r="H7" s="21"/>
      <c r="I7" s="22">
        <f t="shared" si="0"/>
        <v>16417065</v>
      </c>
    </row>
    <row r="8" spans="1:9" x14ac:dyDescent="0.35">
      <c r="A8" s="5"/>
      <c r="B8" s="6" t="s">
        <v>14</v>
      </c>
      <c r="C8" s="21"/>
      <c r="D8" s="21"/>
      <c r="E8" s="21"/>
      <c r="F8" s="21">
        <v>682152</v>
      </c>
      <c r="G8" s="21">
        <v>7687560</v>
      </c>
      <c r="H8" s="21">
        <v>3544617</v>
      </c>
      <c r="I8" s="22">
        <f t="shared" si="0"/>
        <v>11914329</v>
      </c>
    </row>
    <row r="9" spans="1:9" x14ac:dyDescent="0.35">
      <c r="A9" s="5"/>
      <c r="B9" s="6" t="s">
        <v>15</v>
      </c>
      <c r="C9" s="21">
        <v>5628215</v>
      </c>
      <c r="D9" s="21"/>
      <c r="E9" s="21">
        <v>1839758</v>
      </c>
      <c r="F9" s="21"/>
      <c r="G9" s="21"/>
      <c r="H9" s="21"/>
      <c r="I9" s="22">
        <f t="shared" si="0"/>
        <v>7467973</v>
      </c>
    </row>
    <row r="10" spans="1:9" x14ac:dyDescent="0.35">
      <c r="A10" s="5"/>
      <c r="B10" s="6" t="s">
        <v>16</v>
      </c>
      <c r="C10" s="21">
        <v>1024373</v>
      </c>
      <c r="D10" s="21">
        <v>1021492</v>
      </c>
      <c r="E10" s="21">
        <v>2059778</v>
      </c>
      <c r="F10" s="21">
        <v>1035224</v>
      </c>
      <c r="G10" s="21">
        <v>1037737</v>
      </c>
      <c r="H10" s="21">
        <v>1049384</v>
      </c>
      <c r="I10" s="22">
        <f t="shared" si="0"/>
        <v>7227988</v>
      </c>
    </row>
    <row r="11" spans="1:9" x14ac:dyDescent="0.35">
      <c r="A11" s="5"/>
      <c r="B11" s="6" t="s">
        <v>17</v>
      </c>
      <c r="C11" s="21"/>
      <c r="D11" s="21"/>
      <c r="E11" s="21"/>
      <c r="F11" s="21">
        <v>1829897</v>
      </c>
      <c r="G11" s="21">
        <v>1810002</v>
      </c>
      <c r="H11" s="21">
        <v>1817306</v>
      </c>
      <c r="I11" s="22">
        <f t="shared" si="0"/>
        <v>5457205</v>
      </c>
    </row>
    <row r="12" spans="1:9" x14ac:dyDescent="0.35">
      <c r="A12" s="5"/>
      <c r="B12" s="6" t="s">
        <v>18</v>
      </c>
      <c r="C12" s="21"/>
      <c r="D12" s="21"/>
      <c r="E12" s="21">
        <v>2294210</v>
      </c>
      <c r="F12" s="21"/>
      <c r="G12" s="21"/>
      <c r="H12" s="21">
        <v>172955</v>
      </c>
      <c r="I12" s="22">
        <f t="shared" si="0"/>
        <v>2467165</v>
      </c>
    </row>
    <row r="13" spans="1:9" x14ac:dyDescent="0.35">
      <c r="A13" s="5"/>
      <c r="B13" s="6" t="s">
        <v>19</v>
      </c>
      <c r="C13" s="21">
        <v>432471</v>
      </c>
      <c r="D13" s="21">
        <v>435719</v>
      </c>
      <c r="E13" s="21">
        <v>436602</v>
      </c>
      <c r="F13" s="21">
        <v>435952</v>
      </c>
      <c r="G13" s="21">
        <v>440784</v>
      </c>
      <c r="H13" s="21"/>
      <c r="I13" s="22">
        <f t="shared" si="0"/>
        <v>2181528</v>
      </c>
    </row>
    <row r="14" spans="1:9" x14ac:dyDescent="0.35">
      <c r="A14" s="5"/>
      <c r="B14" s="6" t="s">
        <v>20</v>
      </c>
      <c r="C14" s="21"/>
      <c r="D14" s="21"/>
      <c r="E14" s="21">
        <v>682882</v>
      </c>
      <c r="F14" s="21">
        <v>682152</v>
      </c>
      <c r="G14" s="21">
        <v>688271</v>
      </c>
      <c r="H14" s="21"/>
      <c r="I14" s="22">
        <f t="shared" si="0"/>
        <v>2053305</v>
      </c>
    </row>
    <row r="15" spans="1:9" x14ac:dyDescent="0.35">
      <c r="A15" s="5"/>
      <c r="B15" s="6" t="s">
        <v>21</v>
      </c>
      <c r="C15" s="21"/>
      <c r="D15" s="21">
        <v>1452582</v>
      </c>
      <c r="E15" s="21"/>
      <c r="F15" s="21">
        <v>209569</v>
      </c>
      <c r="G15" s="21">
        <v>209257</v>
      </c>
      <c r="H15" s="21"/>
      <c r="I15" s="22">
        <f t="shared" si="0"/>
        <v>1871408</v>
      </c>
    </row>
    <row r="16" spans="1:9" x14ac:dyDescent="0.35">
      <c r="A16" s="5"/>
      <c r="B16" s="6" t="s">
        <v>22</v>
      </c>
      <c r="C16" s="21">
        <v>260652</v>
      </c>
      <c r="D16" s="21">
        <v>259763</v>
      </c>
      <c r="E16" s="21">
        <v>262724</v>
      </c>
      <c r="F16" s="21">
        <v>262273</v>
      </c>
      <c r="G16" s="21">
        <v>263441</v>
      </c>
      <c r="H16" s="21">
        <v>266792</v>
      </c>
      <c r="I16" s="22">
        <f t="shared" si="0"/>
        <v>1575645</v>
      </c>
    </row>
    <row r="17" spans="1:9" x14ac:dyDescent="0.35">
      <c r="A17" s="5"/>
      <c r="B17" s="6" t="s">
        <v>23</v>
      </c>
      <c r="C17" s="21"/>
      <c r="D17" s="21"/>
      <c r="E17" s="21"/>
      <c r="F17" s="21">
        <v>436627</v>
      </c>
      <c r="G17" s="21">
        <v>455847</v>
      </c>
      <c r="H17" s="21">
        <v>612648</v>
      </c>
      <c r="I17" s="22">
        <f t="shared" si="0"/>
        <v>1505122</v>
      </c>
    </row>
    <row r="18" spans="1:9" x14ac:dyDescent="0.35">
      <c r="A18" s="5"/>
      <c r="B18" s="6" t="s">
        <v>24</v>
      </c>
      <c r="C18" s="21"/>
      <c r="D18" s="21"/>
      <c r="E18" s="21">
        <v>1166498</v>
      </c>
      <c r="F18" s="21"/>
      <c r="G18" s="21"/>
      <c r="H18" s="21"/>
      <c r="I18" s="22">
        <f t="shared" si="0"/>
        <v>1166498</v>
      </c>
    </row>
    <row r="19" spans="1:9" x14ac:dyDescent="0.35">
      <c r="A19" s="5"/>
      <c r="B19" s="6" t="s">
        <v>25</v>
      </c>
      <c r="C19" s="21"/>
      <c r="D19" s="21"/>
      <c r="E19" s="21"/>
      <c r="F19" s="21"/>
      <c r="G19" s="21"/>
      <c r="H19" s="21">
        <v>1067170</v>
      </c>
      <c r="I19" s="22">
        <f t="shared" si="0"/>
        <v>1067170</v>
      </c>
    </row>
    <row r="20" spans="1:9" x14ac:dyDescent="0.35">
      <c r="A20" s="5"/>
      <c r="B20" s="6" t="s">
        <v>26</v>
      </c>
      <c r="C20" s="21">
        <v>173622</v>
      </c>
      <c r="D20" s="21">
        <v>173134</v>
      </c>
      <c r="E20" s="21">
        <v>174391</v>
      </c>
      <c r="F20" s="21">
        <v>175461</v>
      </c>
      <c r="G20" s="21">
        <v>175887</v>
      </c>
      <c r="H20" s="21">
        <v>177664</v>
      </c>
      <c r="I20" s="22">
        <f t="shared" si="0"/>
        <v>1050159</v>
      </c>
    </row>
    <row r="21" spans="1:9" x14ac:dyDescent="0.35">
      <c r="A21" s="5"/>
      <c r="B21" s="6" t="s">
        <v>27</v>
      </c>
      <c r="C21" s="21">
        <v>410967</v>
      </c>
      <c r="D21" s="21"/>
      <c r="E21" s="21">
        <v>202200</v>
      </c>
      <c r="F21" s="21"/>
      <c r="G21" s="21"/>
      <c r="H21" s="21"/>
      <c r="I21" s="22">
        <f t="shared" si="0"/>
        <v>613167</v>
      </c>
    </row>
    <row r="22" spans="1:9" x14ac:dyDescent="0.35">
      <c r="A22" s="5"/>
      <c r="B22" s="6" t="s">
        <v>28</v>
      </c>
      <c r="C22" s="21"/>
      <c r="D22" s="21"/>
      <c r="E22" s="21"/>
      <c r="F22" s="21"/>
      <c r="G22" s="21">
        <v>527320</v>
      </c>
      <c r="H22" s="21"/>
      <c r="I22" s="22">
        <f t="shared" si="0"/>
        <v>527320</v>
      </c>
    </row>
    <row r="23" spans="1:9" x14ac:dyDescent="0.35">
      <c r="A23" s="5"/>
      <c r="B23" s="6" t="s">
        <v>29</v>
      </c>
      <c r="C23" s="21">
        <v>14000</v>
      </c>
      <c r="D23" s="21">
        <v>95000</v>
      </c>
      <c r="E23" s="21">
        <v>190000</v>
      </c>
      <c r="F23" s="21">
        <v>95000</v>
      </c>
      <c r="G23" s="21">
        <v>95000</v>
      </c>
      <c r="H23" s="21"/>
      <c r="I23" s="22">
        <f t="shared" si="0"/>
        <v>489000</v>
      </c>
    </row>
    <row r="24" spans="1:9" x14ac:dyDescent="0.35">
      <c r="A24" s="5"/>
      <c r="B24" s="6" t="s">
        <v>30</v>
      </c>
      <c r="C24" s="21"/>
      <c r="D24" s="21"/>
      <c r="E24" s="21">
        <v>171972</v>
      </c>
      <c r="F24" s="21">
        <v>30711</v>
      </c>
      <c r="G24" s="21">
        <v>85446</v>
      </c>
      <c r="H24" s="21">
        <v>134219</v>
      </c>
      <c r="I24" s="22">
        <f t="shared" si="0"/>
        <v>422348</v>
      </c>
    </row>
    <row r="25" spans="1:9" x14ac:dyDescent="0.35">
      <c r="A25" s="5"/>
      <c r="B25" s="6" t="s">
        <v>31</v>
      </c>
      <c r="C25" s="21"/>
      <c r="D25" s="21"/>
      <c r="E25" s="21"/>
      <c r="F25" s="21"/>
      <c r="G25" s="21"/>
      <c r="H25" s="21">
        <v>409679</v>
      </c>
      <c r="I25" s="22">
        <f t="shared" si="0"/>
        <v>409679</v>
      </c>
    </row>
    <row r="26" spans="1:9" x14ac:dyDescent="0.35">
      <c r="A26" s="5"/>
      <c r="B26" s="6" t="s">
        <v>32</v>
      </c>
      <c r="C26" s="21"/>
      <c r="D26" s="21"/>
      <c r="E26" s="21"/>
      <c r="F26" s="21"/>
      <c r="G26" s="21"/>
      <c r="H26" s="21">
        <v>355459</v>
      </c>
      <c r="I26" s="22">
        <f t="shared" si="0"/>
        <v>355459</v>
      </c>
    </row>
    <row r="27" spans="1:9" x14ac:dyDescent="0.35">
      <c r="A27" s="5"/>
      <c r="B27" s="6" t="s">
        <v>33</v>
      </c>
      <c r="C27" s="21"/>
      <c r="D27" s="21"/>
      <c r="E27" s="21"/>
      <c r="F27" s="21"/>
      <c r="G27" s="21"/>
      <c r="H27" s="21">
        <v>355150</v>
      </c>
      <c r="I27" s="22">
        <f t="shared" si="0"/>
        <v>355150</v>
      </c>
    </row>
    <row r="28" spans="1:9" x14ac:dyDescent="0.35">
      <c r="A28" s="5"/>
      <c r="B28" s="6" t="s">
        <v>34</v>
      </c>
      <c r="C28" s="21"/>
      <c r="D28" s="21"/>
      <c r="E28" s="21"/>
      <c r="F28" s="21"/>
      <c r="G28" s="21">
        <v>353146</v>
      </c>
      <c r="H28" s="21"/>
      <c r="I28" s="22">
        <f t="shared" si="0"/>
        <v>353146</v>
      </c>
    </row>
    <row r="29" spans="1:9" x14ac:dyDescent="0.35">
      <c r="A29" s="5"/>
      <c r="B29" s="6" t="s">
        <v>35</v>
      </c>
      <c r="C29" s="21"/>
      <c r="D29" s="21"/>
      <c r="E29" s="21"/>
      <c r="F29" s="21"/>
      <c r="G29" s="21">
        <v>212868</v>
      </c>
      <c r="H29" s="21"/>
      <c r="I29" s="22">
        <f t="shared" si="0"/>
        <v>212868</v>
      </c>
    </row>
    <row r="30" spans="1:9" x14ac:dyDescent="0.35">
      <c r="A30" s="5"/>
      <c r="B30" s="6" t="s">
        <v>36</v>
      </c>
      <c r="C30" s="21"/>
      <c r="D30" s="21"/>
      <c r="E30" s="21">
        <v>194566</v>
      </c>
      <c r="F30" s="21"/>
      <c r="G30" s="21"/>
      <c r="H30" s="21"/>
      <c r="I30" s="22">
        <f t="shared" si="0"/>
        <v>194566</v>
      </c>
    </row>
    <row r="31" spans="1:9" x14ac:dyDescent="0.35">
      <c r="A31" s="5"/>
      <c r="B31" s="6" t="s">
        <v>37</v>
      </c>
      <c r="C31" s="21"/>
      <c r="D31" s="21"/>
      <c r="E31" s="21"/>
      <c r="F31" s="21"/>
      <c r="G31" s="21"/>
      <c r="H31" s="21">
        <v>177486</v>
      </c>
      <c r="I31" s="22">
        <f t="shared" si="0"/>
        <v>177486</v>
      </c>
    </row>
    <row r="32" spans="1:9" x14ac:dyDescent="0.35">
      <c r="A32" s="5"/>
      <c r="B32" s="6" t="s">
        <v>38</v>
      </c>
      <c r="C32" s="21"/>
      <c r="D32" s="21"/>
      <c r="E32" s="21">
        <v>58132</v>
      </c>
      <c r="F32" s="21">
        <v>58173</v>
      </c>
      <c r="G32" s="21">
        <v>58591</v>
      </c>
      <c r="H32" s="21"/>
      <c r="I32" s="22">
        <f t="shared" si="0"/>
        <v>174896</v>
      </c>
    </row>
    <row r="33" spans="1:9" x14ac:dyDescent="0.35">
      <c r="A33" s="5"/>
      <c r="B33" s="6" t="s">
        <v>39</v>
      </c>
      <c r="C33" s="21"/>
      <c r="D33" s="21"/>
      <c r="E33" s="21">
        <v>174341</v>
      </c>
      <c r="F33" s="21"/>
      <c r="G33" s="21"/>
      <c r="H33" s="21"/>
      <c r="I33" s="22">
        <f t="shared" si="0"/>
        <v>174341</v>
      </c>
    </row>
    <row r="34" spans="1:9" x14ac:dyDescent="0.35">
      <c r="A34" s="5"/>
      <c r="B34" s="6" t="s">
        <v>40</v>
      </c>
      <c r="C34" s="21"/>
      <c r="D34" s="21"/>
      <c r="E34" s="21">
        <v>104397</v>
      </c>
      <c r="F34" s="21"/>
      <c r="G34" s="21"/>
      <c r="H34" s="21"/>
      <c r="I34" s="22">
        <f t="shared" si="0"/>
        <v>104397</v>
      </c>
    </row>
    <row r="35" spans="1:9" x14ac:dyDescent="0.35">
      <c r="A35" s="5"/>
      <c r="B35" s="6" t="s">
        <v>41</v>
      </c>
      <c r="C35" s="21">
        <v>104154</v>
      </c>
      <c r="D35" s="21"/>
      <c r="E35" s="21"/>
      <c r="F35" s="21"/>
      <c r="G35" s="21"/>
      <c r="H35" s="21"/>
      <c r="I35" s="22">
        <f t="shared" si="0"/>
        <v>104154</v>
      </c>
    </row>
    <row r="36" spans="1:9" x14ac:dyDescent="0.35">
      <c r="A36" s="5"/>
      <c r="B36" s="6" t="s">
        <v>42</v>
      </c>
      <c r="C36" s="21"/>
      <c r="D36" s="21"/>
      <c r="E36" s="21"/>
      <c r="F36" s="21"/>
      <c r="G36" s="21">
        <v>17524</v>
      </c>
      <c r="H36" s="21"/>
      <c r="I36" s="22">
        <f t="shared" si="0"/>
        <v>17524</v>
      </c>
    </row>
    <row r="37" spans="1:9" x14ac:dyDescent="0.35">
      <c r="A37" s="5"/>
      <c r="B37" s="6" t="s">
        <v>43</v>
      </c>
      <c r="C37" s="21"/>
      <c r="D37" s="21"/>
      <c r="E37" s="21">
        <v>5219</v>
      </c>
      <c r="F37" s="21"/>
      <c r="G37" s="21"/>
      <c r="H37" s="21"/>
      <c r="I37" s="22">
        <f t="shared" si="0"/>
        <v>5219</v>
      </c>
    </row>
    <row r="38" spans="1:9" x14ac:dyDescent="0.35">
      <c r="A38" s="7" t="s">
        <v>44</v>
      </c>
      <c r="B38" s="8"/>
      <c r="C38" s="23">
        <f t="shared" ref="C38:H38" si="1">SUM(C6:C37)</f>
        <v>12784678</v>
      </c>
      <c r="D38" s="23">
        <f t="shared" si="1"/>
        <v>10071921</v>
      </c>
      <c r="E38" s="23">
        <f t="shared" si="1"/>
        <v>19261019</v>
      </c>
      <c r="F38" s="23">
        <f t="shared" si="1"/>
        <v>14900941</v>
      </c>
      <c r="G38" s="23">
        <f t="shared" si="1"/>
        <v>16954192</v>
      </c>
      <c r="H38" s="23">
        <f t="shared" si="1"/>
        <v>14140529</v>
      </c>
      <c r="I38" s="23">
        <f t="shared" si="0"/>
        <v>88113280</v>
      </c>
    </row>
    <row r="40" spans="1:9" x14ac:dyDescent="0.35">
      <c r="A40" s="9" t="s">
        <v>45</v>
      </c>
      <c r="B40" s="10"/>
      <c r="C40" s="24"/>
      <c r="D40" s="24"/>
      <c r="E40" s="24"/>
      <c r="F40" s="24"/>
      <c r="G40" s="24"/>
      <c r="H40" s="24"/>
      <c r="I40" s="24"/>
    </row>
    <row r="41" spans="1:9" x14ac:dyDescent="0.35">
      <c r="A41" s="10"/>
      <c r="B41" s="6" t="s">
        <v>46</v>
      </c>
      <c r="C41" s="21">
        <v>33724833</v>
      </c>
      <c r="D41" s="21"/>
      <c r="E41" s="21">
        <v>379781367</v>
      </c>
      <c r="F41" s="21">
        <v>286515669</v>
      </c>
      <c r="G41" s="21">
        <v>1182524</v>
      </c>
      <c r="H41" s="21">
        <v>17357675</v>
      </c>
      <c r="I41" s="22">
        <f t="shared" ref="I41:I54" si="2">SUM(C41:H41)</f>
        <v>718562068</v>
      </c>
    </row>
    <row r="42" spans="1:9" x14ac:dyDescent="0.35">
      <c r="A42" s="10"/>
      <c r="B42" s="6" t="s">
        <v>47</v>
      </c>
      <c r="C42" s="21"/>
      <c r="D42" s="21"/>
      <c r="E42" s="21"/>
      <c r="F42" s="21"/>
      <c r="G42" s="21">
        <v>40538613</v>
      </c>
      <c r="H42" s="21"/>
      <c r="I42" s="22">
        <f t="shared" si="2"/>
        <v>40538613</v>
      </c>
    </row>
    <row r="43" spans="1:9" x14ac:dyDescent="0.35">
      <c r="A43" s="10"/>
      <c r="B43" s="6" t="s">
        <v>48</v>
      </c>
      <c r="C43" s="21">
        <v>2379198</v>
      </c>
      <c r="D43" s="21"/>
      <c r="E43" s="21">
        <v>2421995</v>
      </c>
      <c r="F43" s="21">
        <v>2278469</v>
      </c>
      <c r="G43" s="21"/>
      <c r="H43" s="21"/>
      <c r="I43" s="22">
        <f t="shared" si="2"/>
        <v>7079662</v>
      </c>
    </row>
    <row r="44" spans="1:9" x14ac:dyDescent="0.35">
      <c r="A44" s="10"/>
      <c r="B44" s="6" t="s">
        <v>49</v>
      </c>
      <c r="C44" s="21">
        <v>4000000</v>
      </c>
      <c r="D44" s="21"/>
      <c r="E44" s="21"/>
      <c r="F44" s="21"/>
      <c r="G44" s="21"/>
      <c r="H44" s="21"/>
      <c r="I44" s="22">
        <f t="shared" si="2"/>
        <v>4000000</v>
      </c>
    </row>
    <row r="45" spans="1:9" x14ac:dyDescent="0.35">
      <c r="A45" s="10"/>
      <c r="B45" s="6" t="s">
        <v>50</v>
      </c>
      <c r="C45" s="21"/>
      <c r="D45" s="21"/>
      <c r="E45" s="21">
        <v>3760000</v>
      </c>
      <c r="F45" s="21"/>
      <c r="G45" s="21"/>
      <c r="H45" s="21"/>
      <c r="I45" s="22">
        <f t="shared" si="2"/>
        <v>3760000</v>
      </c>
    </row>
    <row r="46" spans="1:9" x14ac:dyDescent="0.35">
      <c r="A46" s="10"/>
      <c r="B46" s="6" t="s">
        <v>51</v>
      </c>
      <c r="C46" s="21">
        <v>582000</v>
      </c>
      <c r="D46" s="21">
        <v>264000</v>
      </c>
      <c r="E46" s="21">
        <v>752000</v>
      </c>
      <c r="F46" s="21">
        <v>176000</v>
      </c>
      <c r="G46" s="21">
        <v>857483</v>
      </c>
      <c r="H46" s="21"/>
      <c r="I46" s="22">
        <f t="shared" si="2"/>
        <v>2631483</v>
      </c>
    </row>
    <row r="47" spans="1:9" x14ac:dyDescent="0.35">
      <c r="A47" s="10"/>
      <c r="B47" s="6" t="s">
        <v>52</v>
      </c>
      <c r="C47" s="21"/>
      <c r="D47" s="21"/>
      <c r="E47" s="21">
        <v>2608960</v>
      </c>
      <c r="F47" s="21"/>
      <c r="G47" s="21"/>
      <c r="H47" s="21"/>
      <c r="I47" s="22">
        <f t="shared" si="2"/>
        <v>2608960</v>
      </c>
    </row>
    <row r="48" spans="1:9" x14ac:dyDescent="0.35">
      <c r="A48" s="10"/>
      <c r="B48" s="6" t="s">
        <v>53</v>
      </c>
      <c r="C48" s="21"/>
      <c r="D48" s="21"/>
      <c r="E48" s="21"/>
      <c r="F48" s="21"/>
      <c r="G48" s="21">
        <v>1761493</v>
      </c>
      <c r="H48" s="21">
        <v>529812</v>
      </c>
      <c r="I48" s="22">
        <f t="shared" si="2"/>
        <v>2291305</v>
      </c>
    </row>
    <row r="49" spans="1:9" x14ac:dyDescent="0.35">
      <c r="A49" s="10"/>
      <c r="B49" s="6" t="s">
        <v>54</v>
      </c>
      <c r="C49" s="21"/>
      <c r="D49" s="21"/>
      <c r="E49" s="21"/>
      <c r="F49" s="21"/>
      <c r="G49" s="21">
        <v>1053870</v>
      </c>
      <c r="H49" s="21"/>
      <c r="I49" s="22">
        <f t="shared" si="2"/>
        <v>1053870</v>
      </c>
    </row>
    <row r="50" spans="1:9" x14ac:dyDescent="0.35">
      <c r="A50" s="10"/>
      <c r="B50" s="6" t="s">
        <v>55</v>
      </c>
      <c r="C50" s="21"/>
      <c r="D50" s="21"/>
      <c r="E50" s="21"/>
      <c r="F50" s="21">
        <v>975414</v>
      </c>
      <c r="G50" s="21"/>
      <c r="H50" s="21"/>
      <c r="I50" s="22">
        <f t="shared" si="2"/>
        <v>975414</v>
      </c>
    </row>
    <row r="51" spans="1:9" x14ac:dyDescent="0.35">
      <c r="A51" s="10"/>
      <c r="B51" s="6" t="s">
        <v>56</v>
      </c>
      <c r="C51" s="21"/>
      <c r="D51" s="21">
        <v>505000</v>
      </c>
      <c r="E51" s="21">
        <v>253000</v>
      </c>
      <c r="F51" s="21"/>
      <c r="G51" s="21"/>
      <c r="H51" s="21"/>
      <c r="I51" s="22">
        <f t="shared" si="2"/>
        <v>758000</v>
      </c>
    </row>
    <row r="52" spans="1:9" x14ac:dyDescent="0.35">
      <c r="A52" s="10"/>
      <c r="B52" s="6" t="s">
        <v>57</v>
      </c>
      <c r="C52" s="21">
        <v>10000</v>
      </c>
      <c r="D52" s="21"/>
      <c r="E52" s="21"/>
      <c r="F52" s="21"/>
      <c r="G52" s="21">
        <v>44975</v>
      </c>
      <c r="H52" s="21"/>
      <c r="I52" s="22">
        <f t="shared" si="2"/>
        <v>54975</v>
      </c>
    </row>
    <row r="53" spans="1:9" x14ac:dyDescent="0.35">
      <c r="A53" s="10"/>
      <c r="B53" s="6" t="s">
        <v>58</v>
      </c>
      <c r="C53" s="21"/>
      <c r="D53" s="21"/>
      <c r="E53" s="21"/>
      <c r="F53" s="21">
        <v>35054</v>
      </c>
      <c r="G53" s="21"/>
      <c r="H53" s="21"/>
      <c r="I53" s="22">
        <f t="shared" si="2"/>
        <v>35054</v>
      </c>
    </row>
    <row r="54" spans="1:9" x14ac:dyDescent="0.35">
      <c r="A54" s="7" t="s">
        <v>59</v>
      </c>
      <c r="B54" s="8"/>
      <c r="C54" s="23">
        <f t="shared" ref="C54:H54" si="3">SUM(C41:C53)</f>
        <v>40696031</v>
      </c>
      <c r="D54" s="23">
        <f t="shared" si="3"/>
        <v>769000</v>
      </c>
      <c r="E54" s="23">
        <f t="shared" si="3"/>
        <v>389577322</v>
      </c>
      <c r="F54" s="23">
        <f t="shared" si="3"/>
        <v>289980606</v>
      </c>
      <c r="G54" s="23">
        <f t="shared" si="3"/>
        <v>45438958</v>
      </c>
      <c r="H54" s="23">
        <f t="shared" si="3"/>
        <v>17887487</v>
      </c>
      <c r="I54" s="23">
        <f t="shared" si="2"/>
        <v>784349404</v>
      </c>
    </row>
    <row r="56" spans="1:9" x14ac:dyDescent="0.35">
      <c r="A56" s="11" t="s">
        <v>60</v>
      </c>
      <c r="B56" s="12"/>
      <c r="C56" s="25"/>
      <c r="D56" s="25"/>
      <c r="E56" s="25"/>
      <c r="F56" s="25"/>
      <c r="G56" s="25"/>
      <c r="H56" s="25"/>
      <c r="I56" s="25"/>
    </row>
    <row r="57" spans="1:9" x14ac:dyDescent="0.35">
      <c r="A57" s="12"/>
      <c r="B57" s="6" t="s">
        <v>61</v>
      </c>
      <c r="C57" s="21">
        <v>100000</v>
      </c>
      <c r="D57" s="21"/>
      <c r="E57" s="21"/>
      <c r="F57" s="21"/>
      <c r="G57" s="21"/>
      <c r="H57" s="21">
        <v>40000</v>
      </c>
      <c r="I57" s="22">
        <f>SUM(C57:H57)</f>
        <v>140000</v>
      </c>
    </row>
    <row r="58" spans="1:9" x14ac:dyDescent="0.35">
      <c r="A58" s="12"/>
      <c r="B58" s="6" t="s">
        <v>62</v>
      </c>
      <c r="C58" s="21">
        <v>10000</v>
      </c>
      <c r="D58" s="21"/>
      <c r="E58" s="21">
        <v>5000</v>
      </c>
      <c r="F58" s="21">
        <v>30000</v>
      </c>
      <c r="G58" s="21">
        <v>35000</v>
      </c>
      <c r="H58" s="21">
        <v>45000</v>
      </c>
      <c r="I58" s="22">
        <f>SUM(C58:H58)</f>
        <v>125000</v>
      </c>
    </row>
    <row r="59" spans="1:9" x14ac:dyDescent="0.35">
      <c r="A59" s="12"/>
      <c r="B59" s="6" t="s">
        <v>63</v>
      </c>
      <c r="C59" s="21">
        <v>188</v>
      </c>
      <c r="D59" s="21">
        <v>166</v>
      </c>
      <c r="E59" s="21">
        <v>261</v>
      </c>
      <c r="F59" s="21">
        <v>321</v>
      </c>
      <c r="G59" s="21">
        <v>102</v>
      </c>
      <c r="H59" s="21"/>
      <c r="I59" s="22">
        <f>SUM(C59:H59)</f>
        <v>1038</v>
      </c>
    </row>
    <row r="60" spans="1:9" x14ac:dyDescent="0.35">
      <c r="A60" s="7" t="s">
        <v>64</v>
      </c>
      <c r="B60" s="8"/>
      <c r="C60" s="23">
        <f t="shared" ref="C60:H60" si="4">SUM(C57:C59)</f>
        <v>110188</v>
      </c>
      <c r="D60" s="23">
        <f t="shared" si="4"/>
        <v>166</v>
      </c>
      <c r="E60" s="23">
        <f t="shared" si="4"/>
        <v>5261</v>
      </c>
      <c r="F60" s="23">
        <f t="shared" si="4"/>
        <v>30321</v>
      </c>
      <c r="G60" s="23">
        <f t="shared" si="4"/>
        <v>35102</v>
      </c>
      <c r="H60" s="23">
        <f t="shared" si="4"/>
        <v>85000</v>
      </c>
      <c r="I60" s="23">
        <f>SUM(C60:H60)</f>
        <v>266038</v>
      </c>
    </row>
    <row r="61" spans="1:9" x14ac:dyDescent="0.35">
      <c r="C61" s="26"/>
      <c r="D61" s="26"/>
      <c r="E61" s="26"/>
      <c r="F61" s="26"/>
      <c r="G61" s="26"/>
      <c r="H61" s="26"/>
      <c r="I61" s="26"/>
    </row>
    <row r="62" spans="1:9" x14ac:dyDescent="0.35">
      <c r="A62" s="13" t="s">
        <v>65</v>
      </c>
      <c r="B62" s="14"/>
      <c r="C62" s="27"/>
      <c r="D62" s="27"/>
      <c r="E62" s="27"/>
      <c r="F62" s="27"/>
      <c r="G62" s="27"/>
      <c r="H62" s="27"/>
      <c r="I62" s="27"/>
    </row>
    <row r="63" spans="1:9" x14ac:dyDescent="0.35">
      <c r="A63" s="14"/>
      <c r="B63" s="6" t="s">
        <v>66</v>
      </c>
      <c r="C63" s="21"/>
      <c r="D63" s="21">
        <v>35748092</v>
      </c>
      <c r="E63" s="21"/>
      <c r="F63" s="21">
        <v>45600000</v>
      </c>
      <c r="G63" s="21">
        <v>57820000</v>
      </c>
      <c r="H63" s="21">
        <v>36500000</v>
      </c>
      <c r="I63" s="22">
        <f>SUM(C63:H63)</f>
        <v>175668092</v>
      </c>
    </row>
    <row r="64" spans="1:9" x14ac:dyDescent="0.35">
      <c r="A64" s="14"/>
      <c r="B64" s="6" t="s">
        <v>67</v>
      </c>
      <c r="C64" s="21">
        <v>96912000</v>
      </c>
      <c r="D64" s="21">
        <v>75000</v>
      </c>
      <c r="E64" s="21">
        <v>1100000</v>
      </c>
      <c r="F64" s="21">
        <v>382000</v>
      </c>
      <c r="G64" s="21">
        <v>10544370</v>
      </c>
      <c r="H64" s="21">
        <v>1239640</v>
      </c>
      <c r="I64" s="22">
        <f>SUM(C64:H64)</f>
        <v>110253010</v>
      </c>
    </row>
    <row r="65" spans="1:9" x14ac:dyDescent="0.35">
      <c r="A65" s="7" t="s">
        <v>68</v>
      </c>
      <c r="B65" s="8"/>
      <c r="C65" s="23">
        <f t="shared" ref="C65:H65" si="5">SUM(C63:C64)</f>
        <v>96912000</v>
      </c>
      <c r="D65" s="23">
        <f t="shared" si="5"/>
        <v>35823092</v>
      </c>
      <c r="E65" s="23">
        <f t="shared" si="5"/>
        <v>1100000</v>
      </c>
      <c r="F65" s="23">
        <f t="shared" si="5"/>
        <v>45982000</v>
      </c>
      <c r="G65" s="23">
        <f t="shared" si="5"/>
        <v>68364370</v>
      </c>
      <c r="H65" s="23">
        <f t="shared" si="5"/>
        <v>37739640</v>
      </c>
      <c r="I65" s="23">
        <f>SUM(C65:H65)</f>
        <v>285921102</v>
      </c>
    </row>
    <row r="67" spans="1:9" ht="21.75" customHeight="1" x14ac:dyDescent="0.35">
      <c r="A67" s="15" t="s">
        <v>69</v>
      </c>
      <c r="B67" s="16"/>
      <c r="C67" s="28">
        <f t="shared" ref="C67:I67" si="6">C38+C54+C60+C65</f>
        <v>150502897</v>
      </c>
      <c r="D67" s="28">
        <f t="shared" si="6"/>
        <v>46664179</v>
      </c>
      <c r="E67" s="28">
        <f t="shared" si="6"/>
        <v>409943602</v>
      </c>
      <c r="F67" s="28">
        <f t="shared" si="6"/>
        <v>350893868</v>
      </c>
      <c r="G67" s="28">
        <f t="shared" si="6"/>
        <v>130792622</v>
      </c>
      <c r="H67" s="28">
        <f t="shared" si="6"/>
        <v>69852656</v>
      </c>
      <c r="I67" s="28">
        <f t="shared" si="6"/>
        <v>1158649824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"/>
  <sheetViews>
    <sheetView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70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74</v>
      </c>
      <c r="B4" s="5" t="s">
        <v>11</v>
      </c>
      <c r="C4" s="19" t="s">
        <v>13</v>
      </c>
      <c r="D4" s="19" t="s">
        <v>75</v>
      </c>
      <c r="E4" s="30">
        <v>736224</v>
      </c>
    </row>
    <row r="5" spans="1:5" x14ac:dyDescent="0.35">
      <c r="A5" s="18" t="s">
        <v>76</v>
      </c>
      <c r="B5" s="5" t="s">
        <v>11</v>
      </c>
      <c r="C5" s="19" t="s">
        <v>22</v>
      </c>
      <c r="D5" s="19" t="s">
        <v>77</v>
      </c>
      <c r="E5" s="30">
        <v>260652</v>
      </c>
    </row>
    <row r="6" spans="1:5" x14ac:dyDescent="0.35">
      <c r="A6" s="18" t="s">
        <v>78</v>
      </c>
      <c r="B6" s="5" t="s">
        <v>11</v>
      </c>
      <c r="C6" s="19" t="s">
        <v>29</v>
      </c>
      <c r="D6" s="19" t="s">
        <v>79</v>
      </c>
      <c r="E6" s="30">
        <v>14000</v>
      </c>
    </row>
    <row r="7" spans="1:5" x14ac:dyDescent="0.35">
      <c r="A7" s="18" t="s">
        <v>80</v>
      </c>
      <c r="B7" s="5" t="s">
        <v>11</v>
      </c>
      <c r="C7" s="19" t="s">
        <v>15</v>
      </c>
      <c r="D7" s="19" t="s">
        <v>81</v>
      </c>
      <c r="E7" s="30">
        <v>5628215</v>
      </c>
    </row>
    <row r="8" spans="1:5" x14ac:dyDescent="0.35">
      <c r="A8" s="18" t="s">
        <v>82</v>
      </c>
      <c r="B8" s="5" t="s">
        <v>11</v>
      </c>
      <c r="C8" s="19" t="s">
        <v>27</v>
      </c>
      <c r="D8" s="19" t="s">
        <v>83</v>
      </c>
      <c r="E8" s="30">
        <v>195519</v>
      </c>
    </row>
    <row r="9" spans="1:5" x14ac:dyDescent="0.35">
      <c r="A9" s="18" t="s">
        <v>82</v>
      </c>
      <c r="B9" s="5" t="s">
        <v>11</v>
      </c>
      <c r="C9" s="19" t="s">
        <v>27</v>
      </c>
      <c r="D9" s="19" t="s">
        <v>83</v>
      </c>
      <c r="E9" s="30">
        <v>215448</v>
      </c>
    </row>
    <row r="10" spans="1:5" x14ac:dyDescent="0.35">
      <c r="A10" s="18" t="s">
        <v>84</v>
      </c>
      <c r="B10" s="5" t="s">
        <v>11</v>
      </c>
      <c r="C10" s="19" t="s">
        <v>19</v>
      </c>
      <c r="D10" s="19" t="s">
        <v>85</v>
      </c>
      <c r="E10" s="30">
        <v>432471</v>
      </c>
    </row>
    <row r="11" spans="1:5" x14ac:dyDescent="0.35">
      <c r="A11" s="18" t="s">
        <v>86</v>
      </c>
      <c r="B11" s="5" t="s">
        <v>11</v>
      </c>
      <c r="C11" s="19" t="s">
        <v>16</v>
      </c>
      <c r="D11" s="19" t="s">
        <v>87</v>
      </c>
      <c r="E11" s="30">
        <v>1024373</v>
      </c>
    </row>
    <row r="12" spans="1:5" x14ac:dyDescent="0.35">
      <c r="A12" s="18" t="s">
        <v>88</v>
      </c>
      <c r="B12" s="5" t="s">
        <v>11</v>
      </c>
      <c r="C12" s="19" t="s">
        <v>26</v>
      </c>
      <c r="D12" s="19" t="s">
        <v>89</v>
      </c>
      <c r="E12" s="30">
        <v>173622</v>
      </c>
    </row>
    <row r="13" spans="1:5" x14ac:dyDescent="0.35">
      <c r="A13" s="18" t="s">
        <v>90</v>
      </c>
      <c r="B13" s="5" t="s">
        <v>11</v>
      </c>
      <c r="C13" s="19" t="s">
        <v>12</v>
      </c>
      <c r="D13" s="19" t="s">
        <v>91</v>
      </c>
      <c r="E13" s="30">
        <v>4000000</v>
      </c>
    </row>
    <row r="14" spans="1:5" x14ac:dyDescent="0.35">
      <c r="A14" s="18" t="s">
        <v>92</v>
      </c>
      <c r="B14" s="5" t="s">
        <v>11</v>
      </c>
      <c r="C14" s="19" t="s">
        <v>41</v>
      </c>
      <c r="D14" s="19" t="s">
        <v>93</v>
      </c>
      <c r="E14" s="30">
        <v>52077</v>
      </c>
    </row>
    <row r="15" spans="1:5" x14ac:dyDescent="0.35">
      <c r="A15" s="18" t="s">
        <v>92</v>
      </c>
      <c r="B15" s="5" t="s">
        <v>11</v>
      </c>
      <c r="C15" s="19" t="s">
        <v>41</v>
      </c>
      <c r="D15" s="19" t="s">
        <v>94</v>
      </c>
      <c r="E15" s="30">
        <v>52077</v>
      </c>
    </row>
    <row r="16" spans="1:5" x14ac:dyDescent="0.35">
      <c r="A16" s="7" t="s">
        <v>44</v>
      </c>
      <c r="B16" s="8"/>
      <c r="C16" s="8"/>
      <c r="D16" s="8"/>
      <c r="E16" s="31">
        <f>SUM(E4:E15)</f>
        <v>12784678</v>
      </c>
    </row>
    <row r="17" spans="1:5" x14ac:dyDescent="0.35">
      <c r="A17" s="18" t="s">
        <v>90</v>
      </c>
      <c r="B17" s="10" t="s">
        <v>45</v>
      </c>
      <c r="C17" s="19" t="s">
        <v>49</v>
      </c>
      <c r="D17" s="19" t="s">
        <v>95</v>
      </c>
      <c r="E17" s="30">
        <v>4000000</v>
      </c>
    </row>
    <row r="18" spans="1:5" x14ac:dyDescent="0.35">
      <c r="A18" s="18" t="s">
        <v>76</v>
      </c>
      <c r="B18" s="10" t="s">
        <v>45</v>
      </c>
      <c r="C18" s="19" t="s">
        <v>57</v>
      </c>
      <c r="D18" s="19" t="s">
        <v>96</v>
      </c>
      <c r="E18" s="30">
        <v>10000</v>
      </c>
    </row>
    <row r="19" spans="1:5" x14ac:dyDescent="0.35">
      <c r="A19" s="18" t="s">
        <v>97</v>
      </c>
      <c r="B19" s="10" t="s">
        <v>45</v>
      </c>
      <c r="C19" s="19" t="s">
        <v>46</v>
      </c>
      <c r="D19" s="19" t="s">
        <v>98</v>
      </c>
      <c r="E19" s="30">
        <v>714772</v>
      </c>
    </row>
    <row r="20" spans="1:5" x14ac:dyDescent="0.35">
      <c r="A20" s="18" t="s">
        <v>80</v>
      </c>
      <c r="B20" s="10" t="s">
        <v>45</v>
      </c>
      <c r="C20" s="19" t="s">
        <v>46</v>
      </c>
      <c r="D20" s="19" t="s">
        <v>99</v>
      </c>
      <c r="E20" s="30">
        <v>86134</v>
      </c>
    </row>
    <row r="21" spans="1:5" x14ac:dyDescent="0.35">
      <c r="A21" s="18" t="s">
        <v>80</v>
      </c>
      <c r="B21" s="10" t="s">
        <v>45</v>
      </c>
      <c r="C21" s="19" t="s">
        <v>46</v>
      </c>
      <c r="D21" s="19" t="s">
        <v>100</v>
      </c>
      <c r="E21" s="30">
        <v>86134</v>
      </c>
    </row>
    <row r="22" spans="1:5" x14ac:dyDescent="0.35">
      <c r="A22" s="18" t="s">
        <v>101</v>
      </c>
      <c r="B22" s="10" t="s">
        <v>45</v>
      </c>
      <c r="C22" s="19" t="s">
        <v>46</v>
      </c>
      <c r="D22" s="19" t="s">
        <v>102</v>
      </c>
      <c r="E22" s="30">
        <v>3948897</v>
      </c>
    </row>
    <row r="23" spans="1:5" x14ac:dyDescent="0.35">
      <c r="A23" s="18" t="s">
        <v>101</v>
      </c>
      <c r="B23" s="10" t="s">
        <v>45</v>
      </c>
      <c r="C23" s="19" t="s">
        <v>46</v>
      </c>
      <c r="D23" s="19" t="s">
        <v>103</v>
      </c>
      <c r="E23" s="30">
        <v>3948897</v>
      </c>
    </row>
    <row r="24" spans="1:5" x14ac:dyDescent="0.35">
      <c r="A24" s="18" t="s">
        <v>104</v>
      </c>
      <c r="B24" s="10" t="s">
        <v>45</v>
      </c>
      <c r="C24" s="19" t="s">
        <v>46</v>
      </c>
      <c r="D24" s="19" t="s">
        <v>105</v>
      </c>
      <c r="E24" s="30">
        <v>3985846</v>
      </c>
    </row>
    <row r="25" spans="1:5" x14ac:dyDescent="0.35">
      <c r="A25" s="18" t="s">
        <v>104</v>
      </c>
      <c r="B25" s="10" t="s">
        <v>45</v>
      </c>
      <c r="C25" s="19" t="s">
        <v>46</v>
      </c>
      <c r="D25" s="19" t="s">
        <v>106</v>
      </c>
      <c r="E25" s="30">
        <v>2512153</v>
      </c>
    </row>
    <row r="26" spans="1:5" x14ac:dyDescent="0.35">
      <c r="A26" s="18" t="s">
        <v>104</v>
      </c>
      <c r="B26" s="10" t="s">
        <v>45</v>
      </c>
      <c r="C26" s="19" t="s">
        <v>46</v>
      </c>
      <c r="D26" s="19" t="s">
        <v>105</v>
      </c>
      <c r="E26" s="30">
        <v>2902701</v>
      </c>
    </row>
    <row r="27" spans="1:5" x14ac:dyDescent="0.35">
      <c r="A27" s="18" t="s">
        <v>107</v>
      </c>
      <c r="B27" s="10" t="s">
        <v>45</v>
      </c>
      <c r="C27" s="19" t="s">
        <v>46</v>
      </c>
      <c r="D27" s="19" t="s">
        <v>105</v>
      </c>
      <c r="E27" s="30">
        <v>2019744</v>
      </c>
    </row>
    <row r="28" spans="1:5" x14ac:dyDescent="0.35">
      <c r="A28" s="18" t="s">
        <v>107</v>
      </c>
      <c r="B28" s="10" t="s">
        <v>45</v>
      </c>
      <c r="C28" s="19" t="s">
        <v>46</v>
      </c>
      <c r="D28" s="19" t="s">
        <v>105</v>
      </c>
      <c r="E28" s="30">
        <v>296482</v>
      </c>
    </row>
    <row r="29" spans="1:5" x14ac:dyDescent="0.35">
      <c r="A29" s="18" t="s">
        <v>88</v>
      </c>
      <c r="B29" s="10" t="s">
        <v>45</v>
      </c>
      <c r="C29" s="19" t="s">
        <v>46</v>
      </c>
      <c r="D29" s="19" t="s">
        <v>105</v>
      </c>
      <c r="E29" s="30">
        <v>296482</v>
      </c>
    </row>
    <row r="30" spans="1:5" x14ac:dyDescent="0.35">
      <c r="A30" s="18" t="s">
        <v>88</v>
      </c>
      <c r="B30" s="10" t="s">
        <v>45</v>
      </c>
      <c r="C30" s="19" t="s">
        <v>46</v>
      </c>
      <c r="D30" s="19" t="s">
        <v>105</v>
      </c>
      <c r="E30" s="30">
        <v>2572320</v>
      </c>
    </row>
    <row r="31" spans="1:5" x14ac:dyDescent="0.35">
      <c r="A31" s="18" t="s">
        <v>108</v>
      </c>
      <c r="B31" s="10" t="s">
        <v>45</v>
      </c>
      <c r="C31" s="19" t="s">
        <v>46</v>
      </c>
      <c r="D31" s="19" t="s">
        <v>105</v>
      </c>
      <c r="E31" s="30">
        <v>316482</v>
      </c>
    </row>
    <row r="32" spans="1:5" x14ac:dyDescent="0.35">
      <c r="A32" s="18" t="s">
        <v>78</v>
      </c>
      <c r="B32" s="10" t="s">
        <v>45</v>
      </c>
      <c r="C32" s="19" t="s">
        <v>46</v>
      </c>
      <c r="D32" s="19" t="s">
        <v>105</v>
      </c>
      <c r="E32" s="30">
        <v>888729</v>
      </c>
    </row>
    <row r="33" spans="1:5" x14ac:dyDescent="0.35">
      <c r="A33" s="18" t="s">
        <v>78</v>
      </c>
      <c r="B33" s="10" t="s">
        <v>45</v>
      </c>
      <c r="C33" s="19" t="s">
        <v>46</v>
      </c>
      <c r="D33" s="19" t="s">
        <v>105</v>
      </c>
      <c r="E33" s="30">
        <v>2826558</v>
      </c>
    </row>
    <row r="34" spans="1:5" x14ac:dyDescent="0.35">
      <c r="A34" s="18" t="s">
        <v>78</v>
      </c>
      <c r="B34" s="10" t="s">
        <v>45</v>
      </c>
      <c r="C34" s="19" t="s">
        <v>46</v>
      </c>
      <c r="D34" s="19" t="s">
        <v>105</v>
      </c>
      <c r="E34" s="30">
        <v>401180</v>
      </c>
    </row>
    <row r="35" spans="1:5" x14ac:dyDescent="0.35">
      <c r="A35" s="18" t="s">
        <v>92</v>
      </c>
      <c r="B35" s="10" t="s">
        <v>45</v>
      </c>
      <c r="C35" s="19" t="s">
        <v>46</v>
      </c>
      <c r="D35" s="19" t="s">
        <v>105</v>
      </c>
      <c r="E35" s="30">
        <v>2059194</v>
      </c>
    </row>
    <row r="36" spans="1:5" x14ac:dyDescent="0.35">
      <c r="A36" s="18" t="s">
        <v>109</v>
      </c>
      <c r="B36" s="10" t="s">
        <v>45</v>
      </c>
      <c r="C36" s="19" t="s">
        <v>46</v>
      </c>
      <c r="D36" s="19" t="s">
        <v>110</v>
      </c>
      <c r="E36" s="30">
        <v>1380396</v>
      </c>
    </row>
    <row r="37" spans="1:5" x14ac:dyDescent="0.35">
      <c r="A37" s="18" t="s">
        <v>111</v>
      </c>
      <c r="B37" s="10" t="s">
        <v>45</v>
      </c>
      <c r="C37" s="19" t="s">
        <v>46</v>
      </c>
      <c r="D37" s="19" t="s">
        <v>110</v>
      </c>
      <c r="E37" s="30">
        <v>1380396</v>
      </c>
    </row>
    <row r="38" spans="1:5" x14ac:dyDescent="0.35">
      <c r="A38" s="18" t="s">
        <v>112</v>
      </c>
      <c r="B38" s="10" t="s">
        <v>45</v>
      </c>
      <c r="C38" s="19" t="s">
        <v>46</v>
      </c>
      <c r="D38" s="19" t="s">
        <v>110</v>
      </c>
      <c r="E38" s="30">
        <v>110889</v>
      </c>
    </row>
    <row r="39" spans="1:5" x14ac:dyDescent="0.35">
      <c r="A39" s="18" t="s">
        <v>113</v>
      </c>
      <c r="B39" s="10" t="s">
        <v>45</v>
      </c>
      <c r="C39" s="19" t="s">
        <v>46</v>
      </c>
      <c r="D39" s="19" t="s">
        <v>114</v>
      </c>
      <c r="E39" s="30">
        <v>191247</v>
      </c>
    </row>
    <row r="40" spans="1:5" x14ac:dyDescent="0.35">
      <c r="A40" s="18" t="s">
        <v>82</v>
      </c>
      <c r="B40" s="10" t="s">
        <v>45</v>
      </c>
      <c r="C40" s="19" t="s">
        <v>46</v>
      </c>
      <c r="D40" s="19" t="s">
        <v>115</v>
      </c>
      <c r="E40" s="30">
        <v>799200</v>
      </c>
    </row>
    <row r="41" spans="1:5" x14ac:dyDescent="0.35">
      <c r="A41" s="18" t="s">
        <v>104</v>
      </c>
      <c r="B41" s="10" t="s">
        <v>45</v>
      </c>
      <c r="C41" s="19" t="s">
        <v>51</v>
      </c>
      <c r="D41" s="19" t="s">
        <v>116</v>
      </c>
      <c r="E41" s="30">
        <v>152000</v>
      </c>
    </row>
    <row r="42" spans="1:5" x14ac:dyDescent="0.35">
      <c r="A42" s="18" t="s">
        <v>88</v>
      </c>
      <c r="B42" s="10" t="s">
        <v>45</v>
      </c>
      <c r="C42" s="19" t="s">
        <v>51</v>
      </c>
      <c r="D42" s="19" t="s">
        <v>117</v>
      </c>
      <c r="E42" s="30">
        <v>212000</v>
      </c>
    </row>
    <row r="43" spans="1:5" x14ac:dyDescent="0.35">
      <c r="A43" s="18" t="s">
        <v>118</v>
      </c>
      <c r="B43" s="10" t="s">
        <v>45</v>
      </c>
      <c r="C43" s="19" t="s">
        <v>51</v>
      </c>
      <c r="D43" s="19" t="s">
        <v>119</v>
      </c>
      <c r="E43" s="30">
        <v>88000</v>
      </c>
    </row>
    <row r="44" spans="1:5" x14ac:dyDescent="0.35">
      <c r="A44" s="18" t="s">
        <v>113</v>
      </c>
      <c r="B44" s="10" t="s">
        <v>45</v>
      </c>
      <c r="C44" s="19" t="s">
        <v>51</v>
      </c>
      <c r="D44" s="19" t="s">
        <v>120</v>
      </c>
      <c r="E44" s="30">
        <v>50000</v>
      </c>
    </row>
    <row r="45" spans="1:5" x14ac:dyDescent="0.35">
      <c r="A45" s="18" t="s">
        <v>113</v>
      </c>
      <c r="B45" s="10" t="s">
        <v>45</v>
      </c>
      <c r="C45" s="19" t="s">
        <v>51</v>
      </c>
      <c r="D45" s="19" t="s">
        <v>121</v>
      </c>
      <c r="E45" s="30">
        <v>80000</v>
      </c>
    </row>
    <row r="46" spans="1:5" x14ac:dyDescent="0.35">
      <c r="A46" s="18" t="s">
        <v>122</v>
      </c>
      <c r="B46" s="10" t="s">
        <v>45</v>
      </c>
      <c r="C46" s="19" t="s">
        <v>48</v>
      </c>
      <c r="D46" s="19" t="s">
        <v>123</v>
      </c>
      <c r="E46" s="30">
        <v>555725</v>
      </c>
    </row>
    <row r="47" spans="1:5" x14ac:dyDescent="0.35">
      <c r="A47" s="18" t="s">
        <v>122</v>
      </c>
      <c r="B47" s="10" t="s">
        <v>45</v>
      </c>
      <c r="C47" s="19" t="s">
        <v>48</v>
      </c>
      <c r="D47" s="19" t="s">
        <v>124</v>
      </c>
      <c r="E47" s="30">
        <v>1823473</v>
      </c>
    </row>
    <row r="48" spans="1:5" x14ac:dyDescent="0.35">
      <c r="A48" s="7" t="s">
        <v>59</v>
      </c>
      <c r="B48" s="8"/>
      <c r="C48" s="8"/>
      <c r="D48" s="8"/>
      <c r="E48" s="31">
        <f>SUM(E17:E47)</f>
        <v>40696031</v>
      </c>
    </row>
    <row r="49" spans="1:5" x14ac:dyDescent="0.35">
      <c r="A49" s="18" t="s">
        <v>80</v>
      </c>
      <c r="B49" s="12" t="s">
        <v>60</v>
      </c>
      <c r="C49" s="19" t="s">
        <v>61</v>
      </c>
      <c r="D49" s="19" t="s">
        <v>125</v>
      </c>
      <c r="E49" s="30">
        <v>50000</v>
      </c>
    </row>
    <row r="50" spans="1:5" x14ac:dyDescent="0.35">
      <c r="A50" s="18" t="s">
        <v>80</v>
      </c>
      <c r="B50" s="12" t="s">
        <v>60</v>
      </c>
      <c r="C50" s="19" t="s">
        <v>61</v>
      </c>
      <c r="D50" s="19" t="s">
        <v>125</v>
      </c>
      <c r="E50" s="30">
        <v>50000</v>
      </c>
    </row>
    <row r="51" spans="1:5" x14ac:dyDescent="0.35">
      <c r="A51" s="18" t="s">
        <v>97</v>
      </c>
      <c r="B51" s="12" t="s">
        <v>60</v>
      </c>
      <c r="C51" s="19" t="s">
        <v>62</v>
      </c>
      <c r="D51" s="19" t="s">
        <v>126</v>
      </c>
      <c r="E51" s="30">
        <v>5000</v>
      </c>
    </row>
    <row r="52" spans="1:5" x14ac:dyDescent="0.35">
      <c r="A52" s="18" t="s">
        <v>80</v>
      </c>
      <c r="B52" s="12" t="s">
        <v>60</v>
      </c>
      <c r="C52" s="19" t="s">
        <v>62</v>
      </c>
      <c r="D52" s="19" t="s">
        <v>126</v>
      </c>
      <c r="E52" s="30">
        <v>5000</v>
      </c>
    </row>
    <row r="53" spans="1:5" x14ac:dyDescent="0.35">
      <c r="A53" s="18" t="s">
        <v>84</v>
      </c>
      <c r="B53" s="12" t="s">
        <v>60</v>
      </c>
      <c r="C53" s="19" t="s">
        <v>63</v>
      </c>
      <c r="D53" s="19" t="s">
        <v>127</v>
      </c>
      <c r="E53" s="30">
        <v>188</v>
      </c>
    </row>
    <row r="54" spans="1:5" x14ac:dyDescent="0.35">
      <c r="A54" s="7" t="s">
        <v>64</v>
      </c>
      <c r="B54" s="8"/>
      <c r="C54" s="8"/>
      <c r="D54" s="8"/>
      <c r="E54" s="31">
        <f>SUM(E49:E53)</f>
        <v>110188</v>
      </c>
    </row>
    <row r="55" spans="1:5" x14ac:dyDescent="0.35">
      <c r="A55" s="18" t="s">
        <v>109</v>
      </c>
      <c r="B55" s="14" t="s">
        <v>65</v>
      </c>
      <c r="C55" s="19" t="s">
        <v>67</v>
      </c>
      <c r="D55" s="19" t="s">
        <v>128</v>
      </c>
      <c r="E55" s="30">
        <v>5512000</v>
      </c>
    </row>
    <row r="56" spans="1:5" x14ac:dyDescent="0.35">
      <c r="A56" s="18" t="s">
        <v>111</v>
      </c>
      <c r="B56" s="14" t="s">
        <v>65</v>
      </c>
      <c r="C56" s="19" t="s">
        <v>67</v>
      </c>
      <c r="D56" s="19" t="s">
        <v>129</v>
      </c>
      <c r="E56" s="30">
        <v>20000000</v>
      </c>
    </row>
    <row r="57" spans="1:5" x14ac:dyDescent="0.35">
      <c r="A57" s="18" t="s">
        <v>130</v>
      </c>
      <c r="B57" s="14" t="s">
        <v>65</v>
      </c>
      <c r="C57" s="19" t="s">
        <v>67</v>
      </c>
      <c r="D57" s="19" t="s">
        <v>131</v>
      </c>
      <c r="E57" s="30">
        <v>5760000</v>
      </c>
    </row>
    <row r="58" spans="1:5" x14ac:dyDescent="0.35">
      <c r="A58" s="18" t="s">
        <v>130</v>
      </c>
      <c r="B58" s="14" t="s">
        <v>65</v>
      </c>
      <c r="C58" s="19" t="s">
        <v>67</v>
      </c>
      <c r="D58" s="19" t="s">
        <v>132</v>
      </c>
      <c r="E58" s="30">
        <v>18040000</v>
      </c>
    </row>
    <row r="59" spans="1:5" x14ac:dyDescent="0.35">
      <c r="A59" s="18" t="s">
        <v>112</v>
      </c>
      <c r="B59" s="14" t="s">
        <v>65</v>
      </c>
      <c r="C59" s="19" t="s">
        <v>67</v>
      </c>
      <c r="D59" s="19" t="s">
        <v>133</v>
      </c>
      <c r="E59" s="30">
        <v>14000000</v>
      </c>
    </row>
    <row r="60" spans="1:5" x14ac:dyDescent="0.35">
      <c r="A60" s="18" t="s">
        <v>113</v>
      </c>
      <c r="B60" s="14" t="s">
        <v>65</v>
      </c>
      <c r="C60" s="19" t="s">
        <v>67</v>
      </c>
      <c r="D60" s="19" t="s">
        <v>131</v>
      </c>
      <c r="E60" s="30">
        <v>20000000</v>
      </c>
    </row>
    <row r="61" spans="1:5" x14ac:dyDescent="0.35">
      <c r="A61" s="18" t="s">
        <v>82</v>
      </c>
      <c r="B61" s="14" t="s">
        <v>65</v>
      </c>
      <c r="C61" s="19" t="s">
        <v>67</v>
      </c>
      <c r="D61" s="19" t="s">
        <v>134</v>
      </c>
      <c r="E61" s="30">
        <v>13600000</v>
      </c>
    </row>
    <row r="62" spans="1:5" x14ac:dyDescent="0.35">
      <c r="A62" s="7" t="s">
        <v>68</v>
      </c>
      <c r="B62" s="8"/>
      <c r="C62" s="8"/>
      <c r="D62" s="8"/>
      <c r="E62" s="31">
        <f>SUM(E55:E61)</f>
        <v>96912000</v>
      </c>
    </row>
    <row r="64" spans="1:5" ht="21.75" customHeight="1" x14ac:dyDescent="0.35">
      <c r="A64" s="15" t="s">
        <v>135</v>
      </c>
      <c r="B64" s="16"/>
      <c r="C64" s="16"/>
      <c r="D64" s="16"/>
      <c r="E64" s="31">
        <f>E16+E48+E54+E62</f>
        <v>150502897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136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137</v>
      </c>
      <c r="B4" s="5" t="s">
        <v>11</v>
      </c>
      <c r="C4" s="19" t="s">
        <v>13</v>
      </c>
      <c r="D4" s="19" t="s">
        <v>138</v>
      </c>
      <c r="E4" s="30">
        <v>2634231</v>
      </c>
    </row>
    <row r="5" spans="1:5" x14ac:dyDescent="0.35">
      <c r="A5" s="18" t="s">
        <v>139</v>
      </c>
      <c r="B5" s="5" t="s">
        <v>11</v>
      </c>
      <c r="C5" s="19" t="s">
        <v>22</v>
      </c>
      <c r="D5" s="19" t="s">
        <v>77</v>
      </c>
      <c r="E5" s="30">
        <v>259763</v>
      </c>
    </row>
    <row r="6" spans="1:5" x14ac:dyDescent="0.35">
      <c r="A6" s="18" t="s">
        <v>140</v>
      </c>
      <c r="B6" s="5" t="s">
        <v>11</v>
      </c>
      <c r="C6" s="19" t="s">
        <v>29</v>
      </c>
      <c r="D6" s="19" t="s">
        <v>79</v>
      </c>
      <c r="E6" s="30">
        <v>95000</v>
      </c>
    </row>
    <row r="7" spans="1:5" x14ac:dyDescent="0.35">
      <c r="A7" s="18" t="s">
        <v>141</v>
      </c>
      <c r="B7" s="5" t="s">
        <v>11</v>
      </c>
      <c r="C7" s="19" t="s">
        <v>19</v>
      </c>
      <c r="D7" s="19" t="s">
        <v>85</v>
      </c>
      <c r="E7" s="30">
        <v>435719</v>
      </c>
    </row>
    <row r="8" spans="1:5" x14ac:dyDescent="0.35">
      <c r="A8" s="18" t="s">
        <v>142</v>
      </c>
      <c r="B8" s="5" t="s">
        <v>11</v>
      </c>
      <c r="C8" s="19" t="s">
        <v>16</v>
      </c>
      <c r="D8" s="19" t="s">
        <v>87</v>
      </c>
      <c r="E8" s="30">
        <v>1021492</v>
      </c>
    </row>
    <row r="9" spans="1:5" x14ac:dyDescent="0.35">
      <c r="A9" s="18" t="s">
        <v>143</v>
      </c>
      <c r="B9" s="5" t="s">
        <v>11</v>
      </c>
      <c r="C9" s="19" t="s">
        <v>26</v>
      </c>
      <c r="D9" s="19" t="s">
        <v>89</v>
      </c>
      <c r="E9" s="30">
        <v>173134</v>
      </c>
    </row>
    <row r="10" spans="1:5" x14ac:dyDescent="0.35">
      <c r="A10" s="18" t="s">
        <v>144</v>
      </c>
      <c r="B10" s="5" t="s">
        <v>11</v>
      </c>
      <c r="C10" s="19" t="s">
        <v>12</v>
      </c>
      <c r="D10" s="19" t="s">
        <v>145</v>
      </c>
      <c r="E10" s="30">
        <v>4000000</v>
      </c>
    </row>
    <row r="11" spans="1:5" x14ac:dyDescent="0.35">
      <c r="A11" s="18" t="s">
        <v>146</v>
      </c>
      <c r="B11" s="5" t="s">
        <v>11</v>
      </c>
      <c r="C11" s="19" t="s">
        <v>21</v>
      </c>
      <c r="D11" s="19" t="s">
        <v>147</v>
      </c>
      <c r="E11" s="30">
        <v>1452582</v>
      </c>
    </row>
    <row r="12" spans="1:5" x14ac:dyDescent="0.35">
      <c r="A12" s="7" t="s">
        <v>44</v>
      </c>
      <c r="B12" s="8"/>
      <c r="C12" s="8"/>
      <c r="D12" s="8"/>
      <c r="E12" s="31">
        <f>SUM(E4:E11)</f>
        <v>10071921</v>
      </c>
    </row>
    <row r="13" spans="1:5" x14ac:dyDescent="0.35">
      <c r="A13" s="18" t="s">
        <v>146</v>
      </c>
      <c r="B13" s="10" t="s">
        <v>45</v>
      </c>
      <c r="C13" s="19" t="s">
        <v>56</v>
      </c>
      <c r="D13" s="19" t="s">
        <v>148</v>
      </c>
      <c r="E13" s="30">
        <v>505000</v>
      </c>
    </row>
    <row r="14" spans="1:5" x14ac:dyDescent="0.35">
      <c r="A14" s="18" t="s">
        <v>149</v>
      </c>
      <c r="B14" s="10" t="s">
        <v>45</v>
      </c>
      <c r="C14" s="19" t="s">
        <v>51</v>
      </c>
      <c r="D14" s="19" t="s">
        <v>150</v>
      </c>
      <c r="E14" s="30">
        <v>176000</v>
      </c>
    </row>
    <row r="15" spans="1:5" x14ac:dyDescent="0.35">
      <c r="A15" s="18" t="s">
        <v>151</v>
      </c>
      <c r="B15" s="10" t="s">
        <v>45</v>
      </c>
      <c r="C15" s="19" t="s">
        <v>51</v>
      </c>
      <c r="D15" s="19" t="s">
        <v>150</v>
      </c>
      <c r="E15" s="30">
        <v>88000</v>
      </c>
    </row>
    <row r="16" spans="1:5" x14ac:dyDescent="0.35">
      <c r="A16" s="7" t="s">
        <v>59</v>
      </c>
      <c r="B16" s="8"/>
      <c r="C16" s="8"/>
      <c r="D16" s="8"/>
      <c r="E16" s="31">
        <f>SUM(E13:E15)</f>
        <v>769000</v>
      </c>
    </row>
    <row r="17" spans="1:5" x14ac:dyDescent="0.35">
      <c r="A17" s="18" t="s">
        <v>141</v>
      </c>
      <c r="B17" s="12" t="s">
        <v>60</v>
      </c>
      <c r="C17" s="19" t="s">
        <v>63</v>
      </c>
      <c r="D17" s="19" t="s">
        <v>127</v>
      </c>
      <c r="E17" s="30">
        <v>166</v>
      </c>
    </row>
    <row r="18" spans="1:5" x14ac:dyDescent="0.35">
      <c r="A18" s="7" t="s">
        <v>64</v>
      </c>
      <c r="B18" s="8"/>
      <c r="C18" s="8"/>
      <c r="D18" s="8"/>
      <c r="E18" s="31">
        <f>SUM(E17:E17)</f>
        <v>166</v>
      </c>
    </row>
    <row r="19" spans="1:5" x14ac:dyDescent="0.35">
      <c r="A19" s="18" t="s">
        <v>142</v>
      </c>
      <c r="B19" s="14" t="s">
        <v>65</v>
      </c>
      <c r="C19" s="19" t="s">
        <v>66</v>
      </c>
      <c r="D19" s="19" t="s">
        <v>152</v>
      </c>
      <c r="E19" s="30">
        <v>19248092</v>
      </c>
    </row>
    <row r="20" spans="1:5" x14ac:dyDescent="0.35">
      <c r="A20" s="18" t="s">
        <v>153</v>
      </c>
      <c r="B20" s="14" t="s">
        <v>65</v>
      </c>
      <c r="C20" s="19" t="s">
        <v>66</v>
      </c>
      <c r="D20" s="19" t="s">
        <v>154</v>
      </c>
      <c r="E20" s="30">
        <v>8500000</v>
      </c>
    </row>
    <row r="21" spans="1:5" x14ac:dyDescent="0.35">
      <c r="A21" s="18" t="s">
        <v>155</v>
      </c>
      <c r="B21" s="14" t="s">
        <v>65</v>
      </c>
      <c r="C21" s="19" t="s">
        <v>66</v>
      </c>
      <c r="D21" s="19" t="s">
        <v>154</v>
      </c>
      <c r="E21" s="30">
        <v>8000000</v>
      </c>
    </row>
    <row r="22" spans="1:5" x14ac:dyDescent="0.35">
      <c r="A22" s="18" t="s">
        <v>146</v>
      </c>
      <c r="B22" s="14" t="s">
        <v>65</v>
      </c>
      <c r="C22" s="19" t="s">
        <v>67</v>
      </c>
      <c r="D22" s="19" t="s">
        <v>156</v>
      </c>
      <c r="E22" s="30">
        <v>75000</v>
      </c>
    </row>
    <row r="23" spans="1:5" x14ac:dyDescent="0.35">
      <c r="A23" s="7" t="s">
        <v>68</v>
      </c>
      <c r="B23" s="8"/>
      <c r="C23" s="8"/>
      <c r="D23" s="8"/>
      <c r="E23" s="31">
        <f>SUM(E19:E22)</f>
        <v>35823092</v>
      </c>
    </row>
    <row r="25" spans="1:5" ht="21.75" customHeight="1" x14ac:dyDescent="0.35">
      <c r="A25" s="15" t="s">
        <v>135</v>
      </c>
      <c r="B25" s="16"/>
      <c r="C25" s="16"/>
      <c r="D25" s="16"/>
      <c r="E25" s="31">
        <f>E12+E16+E18+E23</f>
        <v>46664179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157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158</v>
      </c>
      <c r="B4" s="5" t="s">
        <v>11</v>
      </c>
      <c r="C4" s="19" t="s">
        <v>13</v>
      </c>
      <c r="D4" s="19" t="s">
        <v>75</v>
      </c>
      <c r="E4" s="30">
        <v>5243349</v>
      </c>
    </row>
    <row r="5" spans="1:5" x14ac:dyDescent="0.35">
      <c r="A5" s="18" t="s">
        <v>159</v>
      </c>
      <c r="B5" s="5" t="s">
        <v>11</v>
      </c>
      <c r="C5" s="19" t="s">
        <v>40</v>
      </c>
      <c r="D5" s="19" t="s">
        <v>160</v>
      </c>
      <c r="E5" s="30">
        <v>104397</v>
      </c>
    </row>
    <row r="6" spans="1:5" x14ac:dyDescent="0.35">
      <c r="A6" s="18" t="s">
        <v>161</v>
      </c>
      <c r="B6" s="5" t="s">
        <v>11</v>
      </c>
      <c r="C6" s="19" t="s">
        <v>22</v>
      </c>
      <c r="D6" s="19" t="s">
        <v>77</v>
      </c>
      <c r="E6" s="30">
        <v>262724</v>
      </c>
    </row>
    <row r="7" spans="1:5" x14ac:dyDescent="0.35">
      <c r="A7" s="18" t="s">
        <v>162</v>
      </c>
      <c r="B7" s="5" t="s">
        <v>11</v>
      </c>
      <c r="C7" s="19" t="s">
        <v>29</v>
      </c>
      <c r="D7" s="19" t="s">
        <v>79</v>
      </c>
      <c r="E7" s="30">
        <v>95000</v>
      </c>
    </row>
    <row r="8" spans="1:5" x14ac:dyDescent="0.35">
      <c r="A8" s="18" t="s">
        <v>162</v>
      </c>
      <c r="B8" s="5" t="s">
        <v>11</v>
      </c>
      <c r="C8" s="19" t="s">
        <v>29</v>
      </c>
      <c r="D8" s="19" t="s">
        <v>79</v>
      </c>
      <c r="E8" s="30">
        <v>95000</v>
      </c>
    </row>
    <row r="9" spans="1:5" x14ac:dyDescent="0.35">
      <c r="A9" s="18" t="s">
        <v>163</v>
      </c>
      <c r="B9" s="5" t="s">
        <v>11</v>
      </c>
      <c r="C9" s="19" t="s">
        <v>15</v>
      </c>
      <c r="D9" s="19" t="s">
        <v>164</v>
      </c>
      <c r="E9" s="30">
        <v>919879</v>
      </c>
    </row>
    <row r="10" spans="1:5" x14ac:dyDescent="0.35">
      <c r="A10" s="18" t="s">
        <v>163</v>
      </c>
      <c r="B10" s="5" t="s">
        <v>11</v>
      </c>
      <c r="C10" s="19" t="s">
        <v>15</v>
      </c>
      <c r="D10" s="19" t="s">
        <v>164</v>
      </c>
      <c r="E10" s="30">
        <v>919879</v>
      </c>
    </row>
    <row r="11" spans="1:5" x14ac:dyDescent="0.35">
      <c r="A11" s="18" t="s">
        <v>165</v>
      </c>
      <c r="B11" s="5" t="s">
        <v>11</v>
      </c>
      <c r="C11" s="19" t="s">
        <v>27</v>
      </c>
      <c r="D11" s="19" t="s">
        <v>166</v>
      </c>
      <c r="E11" s="30">
        <v>152200</v>
      </c>
    </row>
    <row r="12" spans="1:5" x14ac:dyDescent="0.35">
      <c r="A12" s="18" t="s">
        <v>165</v>
      </c>
      <c r="B12" s="5" t="s">
        <v>11</v>
      </c>
      <c r="C12" s="19" t="s">
        <v>27</v>
      </c>
      <c r="D12" s="19" t="s">
        <v>167</v>
      </c>
      <c r="E12" s="30">
        <v>50000</v>
      </c>
    </row>
    <row r="13" spans="1:5" x14ac:dyDescent="0.35">
      <c r="A13" s="18" t="s">
        <v>168</v>
      </c>
      <c r="B13" s="5" t="s">
        <v>11</v>
      </c>
      <c r="C13" s="19" t="s">
        <v>39</v>
      </c>
      <c r="D13" s="19" t="s">
        <v>169</v>
      </c>
      <c r="E13" s="30">
        <v>174341</v>
      </c>
    </row>
    <row r="14" spans="1:5" x14ac:dyDescent="0.35">
      <c r="A14" s="18" t="s">
        <v>170</v>
      </c>
      <c r="B14" s="5" t="s">
        <v>11</v>
      </c>
      <c r="C14" s="19" t="s">
        <v>19</v>
      </c>
      <c r="D14" s="19" t="s">
        <v>171</v>
      </c>
      <c r="E14" s="30">
        <v>436602</v>
      </c>
    </row>
    <row r="15" spans="1:5" x14ac:dyDescent="0.35">
      <c r="A15" s="18" t="s">
        <v>172</v>
      </c>
      <c r="B15" s="5" t="s">
        <v>11</v>
      </c>
      <c r="C15" s="19" t="s">
        <v>16</v>
      </c>
      <c r="D15" s="19" t="s">
        <v>87</v>
      </c>
      <c r="E15" s="30">
        <v>1029889</v>
      </c>
    </row>
    <row r="16" spans="1:5" x14ac:dyDescent="0.35">
      <c r="A16" s="18" t="s">
        <v>172</v>
      </c>
      <c r="B16" s="5" t="s">
        <v>11</v>
      </c>
      <c r="C16" s="19" t="s">
        <v>16</v>
      </c>
      <c r="D16" s="19" t="s">
        <v>173</v>
      </c>
      <c r="E16" s="30">
        <v>1029889</v>
      </c>
    </row>
    <row r="17" spans="1:5" x14ac:dyDescent="0.35">
      <c r="A17" s="18" t="s">
        <v>161</v>
      </c>
      <c r="B17" s="5" t="s">
        <v>11</v>
      </c>
      <c r="C17" s="19" t="s">
        <v>24</v>
      </c>
      <c r="D17" s="19" t="s">
        <v>174</v>
      </c>
      <c r="E17" s="30">
        <v>583249</v>
      </c>
    </row>
    <row r="18" spans="1:5" x14ac:dyDescent="0.35">
      <c r="A18" s="18" t="s">
        <v>161</v>
      </c>
      <c r="B18" s="5" t="s">
        <v>11</v>
      </c>
      <c r="C18" s="19" t="s">
        <v>24</v>
      </c>
      <c r="D18" s="19" t="s">
        <v>175</v>
      </c>
      <c r="E18" s="30">
        <v>583249</v>
      </c>
    </row>
    <row r="19" spans="1:5" x14ac:dyDescent="0.35">
      <c r="A19" s="18" t="s">
        <v>176</v>
      </c>
      <c r="B19" s="5" t="s">
        <v>11</v>
      </c>
      <c r="C19" s="19" t="s">
        <v>30</v>
      </c>
      <c r="D19" s="19" t="s">
        <v>177</v>
      </c>
      <c r="E19" s="30">
        <v>85986</v>
      </c>
    </row>
    <row r="20" spans="1:5" x14ac:dyDescent="0.35">
      <c r="A20" s="18" t="s">
        <v>176</v>
      </c>
      <c r="B20" s="5" t="s">
        <v>11</v>
      </c>
      <c r="C20" s="19" t="s">
        <v>30</v>
      </c>
      <c r="D20" s="19" t="s">
        <v>177</v>
      </c>
      <c r="E20" s="30">
        <v>85986</v>
      </c>
    </row>
    <row r="21" spans="1:5" x14ac:dyDescent="0.35">
      <c r="A21" s="18" t="s">
        <v>178</v>
      </c>
      <c r="B21" s="5" t="s">
        <v>11</v>
      </c>
      <c r="C21" s="19" t="s">
        <v>38</v>
      </c>
      <c r="D21" s="19" t="s">
        <v>179</v>
      </c>
      <c r="E21" s="30">
        <v>58132</v>
      </c>
    </row>
    <row r="22" spans="1:5" x14ac:dyDescent="0.35">
      <c r="A22" s="18" t="s">
        <v>180</v>
      </c>
      <c r="B22" s="5" t="s">
        <v>11</v>
      </c>
      <c r="C22" s="19" t="s">
        <v>36</v>
      </c>
      <c r="D22" s="19" t="s">
        <v>181</v>
      </c>
      <c r="E22" s="30">
        <v>194566</v>
      </c>
    </row>
    <row r="23" spans="1:5" x14ac:dyDescent="0.35">
      <c r="A23" s="18" t="s">
        <v>159</v>
      </c>
      <c r="B23" s="5" t="s">
        <v>11</v>
      </c>
      <c r="C23" s="19" t="s">
        <v>43</v>
      </c>
      <c r="D23" s="19" t="s">
        <v>182</v>
      </c>
      <c r="E23" s="30">
        <v>5219</v>
      </c>
    </row>
    <row r="24" spans="1:5" x14ac:dyDescent="0.35">
      <c r="A24" s="18" t="s">
        <v>183</v>
      </c>
      <c r="B24" s="5" t="s">
        <v>11</v>
      </c>
      <c r="C24" s="19" t="s">
        <v>26</v>
      </c>
      <c r="D24" s="19" t="s">
        <v>184</v>
      </c>
      <c r="E24" s="30">
        <v>174391</v>
      </c>
    </row>
    <row r="25" spans="1:5" x14ac:dyDescent="0.35">
      <c r="A25" s="18" t="s">
        <v>185</v>
      </c>
      <c r="B25" s="5" t="s">
        <v>11</v>
      </c>
      <c r="C25" s="19" t="s">
        <v>20</v>
      </c>
      <c r="D25" s="19" t="s">
        <v>186</v>
      </c>
      <c r="E25" s="30">
        <v>682882</v>
      </c>
    </row>
    <row r="26" spans="1:5" x14ac:dyDescent="0.35">
      <c r="A26" s="18" t="s">
        <v>187</v>
      </c>
      <c r="B26" s="5" t="s">
        <v>11</v>
      </c>
      <c r="C26" s="19" t="s">
        <v>12</v>
      </c>
      <c r="D26" s="19" t="s">
        <v>188</v>
      </c>
      <c r="E26" s="30">
        <v>4000000</v>
      </c>
    </row>
    <row r="27" spans="1:5" x14ac:dyDescent="0.35">
      <c r="A27" s="18" t="s">
        <v>189</v>
      </c>
      <c r="B27" s="5" t="s">
        <v>11</v>
      </c>
      <c r="C27" s="19" t="s">
        <v>18</v>
      </c>
      <c r="D27" s="19" t="s">
        <v>190</v>
      </c>
      <c r="E27" s="30">
        <v>1147105</v>
      </c>
    </row>
    <row r="28" spans="1:5" x14ac:dyDescent="0.35">
      <c r="A28" s="18" t="s">
        <v>189</v>
      </c>
      <c r="B28" s="5" t="s">
        <v>11</v>
      </c>
      <c r="C28" s="19" t="s">
        <v>18</v>
      </c>
      <c r="D28" s="19" t="s">
        <v>190</v>
      </c>
      <c r="E28" s="30">
        <v>1147105</v>
      </c>
    </row>
    <row r="29" spans="1:5" x14ac:dyDescent="0.35">
      <c r="A29" s="7" t="s">
        <v>44</v>
      </c>
      <c r="B29" s="8"/>
      <c r="C29" s="8"/>
      <c r="D29" s="8"/>
      <c r="E29" s="31">
        <f>SUM(E4:E28)</f>
        <v>19261019</v>
      </c>
    </row>
    <row r="30" spans="1:5" x14ac:dyDescent="0.35">
      <c r="A30" s="18" t="s">
        <v>189</v>
      </c>
      <c r="B30" s="10" t="s">
        <v>45</v>
      </c>
      <c r="C30" s="19" t="s">
        <v>50</v>
      </c>
      <c r="D30" s="19" t="s">
        <v>191</v>
      </c>
      <c r="E30" s="30">
        <v>3760000</v>
      </c>
    </row>
    <row r="31" spans="1:5" x14ac:dyDescent="0.35">
      <c r="A31" s="18" t="s">
        <v>192</v>
      </c>
      <c r="B31" s="10" t="s">
        <v>45</v>
      </c>
      <c r="C31" s="19" t="s">
        <v>56</v>
      </c>
      <c r="D31" s="19" t="s">
        <v>193</v>
      </c>
      <c r="E31" s="30">
        <v>253000</v>
      </c>
    </row>
    <row r="32" spans="1:5" x14ac:dyDescent="0.35">
      <c r="A32" s="18" t="s">
        <v>192</v>
      </c>
      <c r="B32" s="10" t="s">
        <v>45</v>
      </c>
      <c r="C32" s="19" t="s">
        <v>46</v>
      </c>
      <c r="D32" s="19" t="s">
        <v>194</v>
      </c>
      <c r="E32" s="30">
        <v>12905666</v>
      </c>
    </row>
    <row r="33" spans="1:5" x14ac:dyDescent="0.35">
      <c r="A33" s="18" t="s">
        <v>183</v>
      </c>
      <c r="B33" s="10" t="s">
        <v>45</v>
      </c>
      <c r="C33" s="19" t="s">
        <v>46</v>
      </c>
      <c r="D33" s="19" t="s">
        <v>195</v>
      </c>
      <c r="E33" s="30">
        <v>128003</v>
      </c>
    </row>
    <row r="34" spans="1:5" x14ac:dyDescent="0.35">
      <c r="A34" s="18" t="s">
        <v>172</v>
      </c>
      <c r="B34" s="10" t="s">
        <v>45</v>
      </c>
      <c r="C34" s="19" t="s">
        <v>46</v>
      </c>
      <c r="D34" s="19" t="s">
        <v>196</v>
      </c>
      <c r="E34" s="30">
        <v>36857913</v>
      </c>
    </row>
    <row r="35" spans="1:5" x14ac:dyDescent="0.35">
      <c r="A35" s="18" t="s">
        <v>197</v>
      </c>
      <c r="B35" s="10" t="s">
        <v>45</v>
      </c>
      <c r="C35" s="19" t="s">
        <v>46</v>
      </c>
      <c r="D35" s="19" t="s">
        <v>114</v>
      </c>
      <c r="E35" s="30">
        <v>1098613</v>
      </c>
    </row>
    <row r="36" spans="1:5" x14ac:dyDescent="0.35">
      <c r="A36" s="18" t="s">
        <v>197</v>
      </c>
      <c r="B36" s="10" t="s">
        <v>45</v>
      </c>
      <c r="C36" s="19" t="s">
        <v>46</v>
      </c>
      <c r="D36" s="19" t="s">
        <v>195</v>
      </c>
      <c r="E36" s="30">
        <v>1098613</v>
      </c>
    </row>
    <row r="37" spans="1:5" x14ac:dyDescent="0.35">
      <c r="A37" s="18" t="s">
        <v>198</v>
      </c>
      <c r="B37" s="10" t="s">
        <v>45</v>
      </c>
      <c r="C37" s="19" t="s">
        <v>46</v>
      </c>
      <c r="D37" s="19" t="s">
        <v>196</v>
      </c>
      <c r="E37" s="30">
        <v>39722729</v>
      </c>
    </row>
    <row r="38" spans="1:5" x14ac:dyDescent="0.35">
      <c r="A38" s="18" t="s">
        <v>198</v>
      </c>
      <c r="B38" s="10" t="s">
        <v>45</v>
      </c>
      <c r="C38" s="19" t="s">
        <v>46</v>
      </c>
      <c r="D38" s="19" t="s">
        <v>196</v>
      </c>
      <c r="E38" s="30">
        <v>39722729</v>
      </c>
    </row>
    <row r="39" spans="1:5" x14ac:dyDescent="0.35">
      <c r="A39" s="18" t="s">
        <v>180</v>
      </c>
      <c r="B39" s="10" t="s">
        <v>45</v>
      </c>
      <c r="C39" s="19" t="s">
        <v>46</v>
      </c>
      <c r="D39" s="19" t="s">
        <v>199</v>
      </c>
      <c r="E39" s="30">
        <v>236634</v>
      </c>
    </row>
    <row r="40" spans="1:5" x14ac:dyDescent="0.35">
      <c r="A40" s="18" t="s">
        <v>176</v>
      </c>
      <c r="B40" s="10" t="s">
        <v>45</v>
      </c>
      <c r="C40" s="19" t="s">
        <v>46</v>
      </c>
      <c r="D40" s="19" t="s">
        <v>200</v>
      </c>
      <c r="E40" s="30">
        <v>11406</v>
      </c>
    </row>
    <row r="41" spans="1:5" x14ac:dyDescent="0.35">
      <c r="A41" s="18" t="s">
        <v>176</v>
      </c>
      <c r="B41" s="10" t="s">
        <v>45</v>
      </c>
      <c r="C41" s="19" t="s">
        <v>46</v>
      </c>
      <c r="D41" s="19" t="s">
        <v>201</v>
      </c>
      <c r="E41" s="30">
        <v>14740</v>
      </c>
    </row>
    <row r="42" spans="1:5" x14ac:dyDescent="0.35">
      <c r="A42" s="18" t="s">
        <v>176</v>
      </c>
      <c r="B42" s="10" t="s">
        <v>45</v>
      </c>
      <c r="C42" s="19" t="s">
        <v>46</v>
      </c>
      <c r="D42" s="19" t="s">
        <v>201</v>
      </c>
      <c r="E42" s="30">
        <v>4036</v>
      </c>
    </row>
    <row r="43" spans="1:5" x14ac:dyDescent="0.35">
      <c r="A43" s="18" t="s">
        <v>176</v>
      </c>
      <c r="B43" s="10" t="s">
        <v>45</v>
      </c>
      <c r="C43" s="19" t="s">
        <v>46</v>
      </c>
      <c r="D43" s="19" t="s">
        <v>200</v>
      </c>
      <c r="E43" s="30">
        <v>8598</v>
      </c>
    </row>
    <row r="44" spans="1:5" x14ac:dyDescent="0.35">
      <c r="A44" s="18" t="s">
        <v>202</v>
      </c>
      <c r="B44" s="10" t="s">
        <v>45</v>
      </c>
      <c r="C44" s="19" t="s">
        <v>46</v>
      </c>
      <c r="D44" s="19" t="s">
        <v>201</v>
      </c>
      <c r="E44" s="30">
        <v>6177</v>
      </c>
    </row>
    <row r="45" spans="1:5" x14ac:dyDescent="0.35">
      <c r="A45" s="18" t="s">
        <v>202</v>
      </c>
      <c r="B45" s="10" t="s">
        <v>45</v>
      </c>
      <c r="C45" s="19" t="s">
        <v>46</v>
      </c>
      <c r="D45" s="19" t="s">
        <v>201</v>
      </c>
      <c r="E45" s="30">
        <v>6354</v>
      </c>
    </row>
    <row r="46" spans="1:5" x14ac:dyDescent="0.35">
      <c r="A46" s="18" t="s">
        <v>203</v>
      </c>
      <c r="B46" s="10" t="s">
        <v>45</v>
      </c>
      <c r="C46" s="19" t="s">
        <v>46</v>
      </c>
      <c r="D46" s="19" t="s">
        <v>204</v>
      </c>
      <c r="E46" s="30">
        <v>43519872</v>
      </c>
    </row>
    <row r="47" spans="1:5" x14ac:dyDescent="0.35">
      <c r="A47" s="18" t="s">
        <v>203</v>
      </c>
      <c r="B47" s="10" t="s">
        <v>45</v>
      </c>
      <c r="C47" s="19" t="s">
        <v>46</v>
      </c>
      <c r="D47" s="19" t="s">
        <v>205</v>
      </c>
      <c r="E47" s="30">
        <v>176292</v>
      </c>
    </row>
    <row r="48" spans="1:5" x14ac:dyDescent="0.35">
      <c r="A48" s="18" t="s">
        <v>206</v>
      </c>
      <c r="B48" s="10" t="s">
        <v>45</v>
      </c>
      <c r="C48" s="19" t="s">
        <v>46</v>
      </c>
      <c r="D48" s="19" t="s">
        <v>205</v>
      </c>
      <c r="E48" s="30">
        <v>14434846</v>
      </c>
    </row>
    <row r="49" spans="1:5" x14ac:dyDescent="0.35">
      <c r="A49" s="18" t="s">
        <v>185</v>
      </c>
      <c r="B49" s="10" t="s">
        <v>45</v>
      </c>
      <c r="C49" s="19" t="s">
        <v>46</v>
      </c>
      <c r="D49" s="19" t="s">
        <v>207</v>
      </c>
      <c r="E49" s="30">
        <v>39705780</v>
      </c>
    </row>
    <row r="50" spans="1:5" x14ac:dyDescent="0.35">
      <c r="A50" s="18" t="s">
        <v>185</v>
      </c>
      <c r="B50" s="10" t="s">
        <v>45</v>
      </c>
      <c r="C50" s="19" t="s">
        <v>46</v>
      </c>
      <c r="D50" s="19" t="s">
        <v>208</v>
      </c>
      <c r="E50" s="30">
        <v>198035</v>
      </c>
    </row>
    <row r="51" spans="1:5" x14ac:dyDescent="0.35">
      <c r="A51" s="18" t="s">
        <v>185</v>
      </c>
      <c r="B51" s="10" t="s">
        <v>45</v>
      </c>
      <c r="C51" s="19" t="s">
        <v>46</v>
      </c>
      <c r="D51" s="19" t="s">
        <v>208</v>
      </c>
      <c r="E51" s="30">
        <v>198035</v>
      </c>
    </row>
    <row r="52" spans="1:5" x14ac:dyDescent="0.35">
      <c r="A52" s="18" t="s">
        <v>209</v>
      </c>
      <c r="B52" s="10" t="s">
        <v>45</v>
      </c>
      <c r="C52" s="19" t="s">
        <v>46</v>
      </c>
      <c r="D52" s="19" t="s">
        <v>207</v>
      </c>
      <c r="E52" s="30">
        <v>15519339</v>
      </c>
    </row>
    <row r="53" spans="1:5" x14ac:dyDescent="0.35">
      <c r="A53" s="18" t="s">
        <v>209</v>
      </c>
      <c r="B53" s="10" t="s">
        <v>45</v>
      </c>
      <c r="C53" s="19" t="s">
        <v>46</v>
      </c>
      <c r="D53" s="19" t="s">
        <v>205</v>
      </c>
      <c r="E53" s="30">
        <v>4639757</v>
      </c>
    </row>
    <row r="54" spans="1:5" x14ac:dyDescent="0.35">
      <c r="A54" s="18" t="s">
        <v>209</v>
      </c>
      <c r="B54" s="10" t="s">
        <v>45</v>
      </c>
      <c r="C54" s="19" t="s">
        <v>46</v>
      </c>
      <c r="D54" s="19" t="s">
        <v>205</v>
      </c>
      <c r="E54" s="30">
        <v>4362642</v>
      </c>
    </row>
    <row r="55" spans="1:5" x14ac:dyDescent="0.35">
      <c r="A55" s="18" t="s">
        <v>170</v>
      </c>
      <c r="B55" s="10" t="s">
        <v>45</v>
      </c>
      <c r="C55" s="19" t="s">
        <v>46</v>
      </c>
      <c r="D55" s="19" t="s">
        <v>207</v>
      </c>
      <c r="E55" s="30">
        <v>17401228</v>
      </c>
    </row>
    <row r="56" spans="1:5" x14ac:dyDescent="0.35">
      <c r="A56" s="18" t="s">
        <v>170</v>
      </c>
      <c r="B56" s="10" t="s">
        <v>45</v>
      </c>
      <c r="C56" s="19" t="s">
        <v>46</v>
      </c>
      <c r="D56" s="19" t="s">
        <v>205</v>
      </c>
      <c r="E56" s="30">
        <v>34525286</v>
      </c>
    </row>
    <row r="57" spans="1:5" x14ac:dyDescent="0.35">
      <c r="A57" s="18" t="s">
        <v>170</v>
      </c>
      <c r="B57" s="10" t="s">
        <v>45</v>
      </c>
      <c r="C57" s="19" t="s">
        <v>46</v>
      </c>
      <c r="D57" s="19" t="s">
        <v>208</v>
      </c>
      <c r="E57" s="30">
        <v>197518</v>
      </c>
    </row>
    <row r="58" spans="1:5" x14ac:dyDescent="0.35">
      <c r="A58" s="18" t="s">
        <v>159</v>
      </c>
      <c r="B58" s="10" t="s">
        <v>45</v>
      </c>
      <c r="C58" s="19" t="s">
        <v>46</v>
      </c>
      <c r="D58" s="19" t="s">
        <v>210</v>
      </c>
      <c r="E58" s="30">
        <v>369889</v>
      </c>
    </row>
    <row r="59" spans="1:5" x14ac:dyDescent="0.35">
      <c r="A59" s="18" t="s">
        <v>159</v>
      </c>
      <c r="B59" s="10" t="s">
        <v>45</v>
      </c>
      <c r="C59" s="19" t="s">
        <v>46</v>
      </c>
      <c r="D59" s="19" t="s">
        <v>211</v>
      </c>
      <c r="E59" s="30">
        <v>15083846</v>
      </c>
    </row>
    <row r="60" spans="1:5" x14ac:dyDescent="0.35">
      <c r="A60" s="18" t="s">
        <v>168</v>
      </c>
      <c r="B60" s="10" t="s">
        <v>45</v>
      </c>
      <c r="C60" s="19" t="s">
        <v>46</v>
      </c>
      <c r="D60" s="19" t="s">
        <v>212</v>
      </c>
      <c r="E60" s="30">
        <v>29536288</v>
      </c>
    </row>
    <row r="61" spans="1:5" x14ac:dyDescent="0.35">
      <c r="A61" s="18" t="s">
        <v>168</v>
      </c>
      <c r="B61" s="10" t="s">
        <v>45</v>
      </c>
      <c r="C61" s="19" t="s">
        <v>46</v>
      </c>
      <c r="D61" s="19" t="s">
        <v>212</v>
      </c>
      <c r="E61" s="30">
        <v>27672414</v>
      </c>
    </row>
    <row r="62" spans="1:5" x14ac:dyDescent="0.35">
      <c r="A62" s="18" t="s">
        <v>187</v>
      </c>
      <c r="B62" s="10" t="s">
        <v>45</v>
      </c>
      <c r="C62" s="19" t="s">
        <v>46</v>
      </c>
      <c r="D62" s="19" t="s">
        <v>213</v>
      </c>
      <c r="E62" s="30">
        <v>230176</v>
      </c>
    </row>
    <row r="63" spans="1:5" x14ac:dyDescent="0.35">
      <c r="A63" s="18" t="s">
        <v>187</v>
      </c>
      <c r="B63" s="10" t="s">
        <v>45</v>
      </c>
      <c r="C63" s="19" t="s">
        <v>46</v>
      </c>
      <c r="D63" s="19" t="s">
        <v>213</v>
      </c>
      <c r="E63" s="30">
        <v>187913</v>
      </c>
    </row>
    <row r="64" spans="1:5" x14ac:dyDescent="0.35">
      <c r="A64" s="18" t="s">
        <v>178</v>
      </c>
      <c r="B64" s="10" t="s">
        <v>45</v>
      </c>
      <c r="C64" s="19" t="s">
        <v>52</v>
      </c>
      <c r="D64" s="19" t="s">
        <v>214</v>
      </c>
      <c r="E64" s="30">
        <v>2608960</v>
      </c>
    </row>
    <row r="65" spans="1:5" x14ac:dyDescent="0.35">
      <c r="A65" s="18" t="s">
        <v>192</v>
      </c>
      <c r="B65" s="10" t="s">
        <v>45</v>
      </c>
      <c r="C65" s="19" t="s">
        <v>51</v>
      </c>
      <c r="D65" s="19" t="s">
        <v>150</v>
      </c>
      <c r="E65" s="30">
        <v>176000</v>
      </c>
    </row>
    <row r="66" spans="1:5" x14ac:dyDescent="0.35">
      <c r="A66" s="18" t="s">
        <v>189</v>
      </c>
      <c r="B66" s="10" t="s">
        <v>45</v>
      </c>
      <c r="C66" s="19" t="s">
        <v>51</v>
      </c>
      <c r="D66" s="19" t="s">
        <v>215</v>
      </c>
      <c r="E66" s="30">
        <v>88000</v>
      </c>
    </row>
    <row r="67" spans="1:5" x14ac:dyDescent="0.35">
      <c r="A67" s="18" t="s">
        <v>178</v>
      </c>
      <c r="B67" s="10" t="s">
        <v>45</v>
      </c>
      <c r="C67" s="19" t="s">
        <v>51</v>
      </c>
      <c r="D67" s="19" t="s">
        <v>150</v>
      </c>
      <c r="E67" s="30">
        <v>88000</v>
      </c>
    </row>
    <row r="68" spans="1:5" x14ac:dyDescent="0.35">
      <c r="A68" s="18" t="s">
        <v>209</v>
      </c>
      <c r="B68" s="10" t="s">
        <v>45</v>
      </c>
      <c r="C68" s="19" t="s">
        <v>51</v>
      </c>
      <c r="D68" s="19" t="s">
        <v>216</v>
      </c>
      <c r="E68" s="30">
        <v>400000</v>
      </c>
    </row>
    <row r="69" spans="1:5" x14ac:dyDescent="0.35">
      <c r="A69" s="18" t="s">
        <v>217</v>
      </c>
      <c r="B69" s="10" t="s">
        <v>45</v>
      </c>
      <c r="C69" s="19" t="s">
        <v>48</v>
      </c>
      <c r="D69" s="19" t="s">
        <v>218</v>
      </c>
      <c r="E69" s="30">
        <v>210117</v>
      </c>
    </row>
    <row r="70" spans="1:5" x14ac:dyDescent="0.35">
      <c r="A70" s="18" t="s">
        <v>217</v>
      </c>
      <c r="B70" s="10" t="s">
        <v>45</v>
      </c>
      <c r="C70" s="19" t="s">
        <v>48</v>
      </c>
      <c r="D70" s="19" t="s">
        <v>218</v>
      </c>
      <c r="E70" s="30">
        <v>560313</v>
      </c>
    </row>
    <row r="71" spans="1:5" x14ac:dyDescent="0.35">
      <c r="A71" s="18" t="s">
        <v>217</v>
      </c>
      <c r="B71" s="10" t="s">
        <v>45</v>
      </c>
      <c r="C71" s="19" t="s">
        <v>48</v>
      </c>
      <c r="D71" s="19" t="s">
        <v>218</v>
      </c>
      <c r="E71" s="30">
        <v>735411</v>
      </c>
    </row>
    <row r="72" spans="1:5" x14ac:dyDescent="0.35">
      <c r="A72" s="18" t="s">
        <v>209</v>
      </c>
      <c r="B72" s="10" t="s">
        <v>45</v>
      </c>
      <c r="C72" s="19" t="s">
        <v>48</v>
      </c>
      <c r="D72" s="19" t="s">
        <v>219</v>
      </c>
      <c r="E72" s="30">
        <v>916154</v>
      </c>
    </row>
    <row r="73" spans="1:5" x14ac:dyDescent="0.35">
      <c r="A73" s="7" t="s">
        <v>59</v>
      </c>
      <c r="B73" s="8"/>
      <c r="C73" s="8"/>
      <c r="D73" s="8"/>
      <c r="E73" s="31">
        <f>SUM(E30:E72)</f>
        <v>389577322</v>
      </c>
    </row>
    <row r="74" spans="1:5" x14ac:dyDescent="0.35">
      <c r="A74" s="18" t="s">
        <v>220</v>
      </c>
      <c r="B74" s="12" t="s">
        <v>60</v>
      </c>
      <c r="C74" s="19" t="s">
        <v>62</v>
      </c>
      <c r="D74" s="19" t="s">
        <v>126</v>
      </c>
      <c r="E74" s="30">
        <v>5000</v>
      </c>
    </row>
    <row r="75" spans="1:5" x14ac:dyDescent="0.35">
      <c r="A75" s="18" t="s">
        <v>170</v>
      </c>
      <c r="B75" s="12" t="s">
        <v>60</v>
      </c>
      <c r="C75" s="19" t="s">
        <v>63</v>
      </c>
      <c r="D75" s="19" t="s">
        <v>127</v>
      </c>
      <c r="E75" s="30">
        <v>261</v>
      </c>
    </row>
    <row r="76" spans="1:5" x14ac:dyDescent="0.35">
      <c r="A76" s="7" t="s">
        <v>64</v>
      </c>
      <c r="B76" s="8"/>
      <c r="C76" s="8"/>
      <c r="D76" s="8"/>
      <c r="E76" s="31">
        <f>SUM(E74:E75)</f>
        <v>5261</v>
      </c>
    </row>
    <row r="77" spans="1:5" x14ac:dyDescent="0.35">
      <c r="A77" s="18" t="s">
        <v>221</v>
      </c>
      <c r="B77" s="14" t="s">
        <v>65</v>
      </c>
      <c r="C77" s="19" t="s">
        <v>67</v>
      </c>
      <c r="D77" s="19" t="s">
        <v>156</v>
      </c>
      <c r="E77" s="30">
        <v>1000000</v>
      </c>
    </row>
    <row r="78" spans="1:5" x14ac:dyDescent="0.35">
      <c r="A78" s="18" t="s">
        <v>187</v>
      </c>
      <c r="B78" s="14" t="s">
        <v>65</v>
      </c>
      <c r="C78" s="19" t="s">
        <v>67</v>
      </c>
      <c r="D78" s="19" t="s">
        <v>156</v>
      </c>
      <c r="E78" s="30">
        <v>100000</v>
      </c>
    </row>
    <row r="79" spans="1:5" x14ac:dyDescent="0.35">
      <c r="A79" s="7" t="s">
        <v>68</v>
      </c>
      <c r="B79" s="8"/>
      <c r="C79" s="8"/>
      <c r="D79" s="8"/>
      <c r="E79" s="31">
        <f>SUM(E77:E78)</f>
        <v>1100000</v>
      </c>
    </row>
    <row r="81" spans="1:5" ht="21.75" customHeight="1" x14ac:dyDescent="0.35">
      <c r="A81" s="15" t="s">
        <v>135</v>
      </c>
      <c r="B81" s="16"/>
      <c r="C81" s="16"/>
      <c r="D81" s="16"/>
      <c r="E81" s="31">
        <f>E29+E73+E76+E79</f>
        <v>409943602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222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223</v>
      </c>
      <c r="B4" s="5" t="s">
        <v>11</v>
      </c>
      <c r="C4" s="19" t="s">
        <v>13</v>
      </c>
      <c r="D4" s="19" t="s">
        <v>224</v>
      </c>
      <c r="E4" s="30">
        <v>4967750</v>
      </c>
    </row>
    <row r="5" spans="1:5" x14ac:dyDescent="0.35">
      <c r="A5" s="18" t="s">
        <v>225</v>
      </c>
      <c r="B5" s="5" t="s">
        <v>11</v>
      </c>
      <c r="C5" s="19" t="s">
        <v>22</v>
      </c>
      <c r="D5" s="19" t="s">
        <v>226</v>
      </c>
      <c r="E5" s="30">
        <v>262273</v>
      </c>
    </row>
    <row r="6" spans="1:5" x14ac:dyDescent="0.35">
      <c r="A6" s="18" t="s">
        <v>227</v>
      </c>
      <c r="B6" s="5" t="s">
        <v>11</v>
      </c>
      <c r="C6" s="19" t="s">
        <v>29</v>
      </c>
      <c r="D6" s="19" t="s">
        <v>79</v>
      </c>
      <c r="E6" s="30">
        <v>95000</v>
      </c>
    </row>
    <row r="7" spans="1:5" x14ac:dyDescent="0.35">
      <c r="A7" s="18" t="s">
        <v>228</v>
      </c>
      <c r="B7" s="5" t="s">
        <v>11</v>
      </c>
      <c r="C7" s="19" t="s">
        <v>17</v>
      </c>
      <c r="D7" s="19" t="s">
        <v>229</v>
      </c>
      <c r="E7" s="30">
        <v>1829897</v>
      </c>
    </row>
    <row r="8" spans="1:5" x14ac:dyDescent="0.35">
      <c r="A8" s="18" t="s">
        <v>230</v>
      </c>
      <c r="B8" s="5" t="s">
        <v>11</v>
      </c>
      <c r="C8" s="19" t="s">
        <v>19</v>
      </c>
      <c r="D8" s="19" t="s">
        <v>85</v>
      </c>
      <c r="E8" s="30">
        <v>435952</v>
      </c>
    </row>
    <row r="9" spans="1:5" x14ac:dyDescent="0.35">
      <c r="A9" s="18" t="s">
        <v>231</v>
      </c>
      <c r="B9" s="5" t="s">
        <v>11</v>
      </c>
      <c r="C9" s="19" t="s">
        <v>16</v>
      </c>
      <c r="D9" s="19" t="s">
        <v>87</v>
      </c>
      <c r="E9" s="30">
        <v>1035224</v>
      </c>
    </row>
    <row r="10" spans="1:5" x14ac:dyDescent="0.35">
      <c r="A10" s="18" t="s">
        <v>232</v>
      </c>
      <c r="B10" s="5" t="s">
        <v>11</v>
      </c>
      <c r="C10" s="19" t="s">
        <v>30</v>
      </c>
      <c r="D10" s="19" t="s">
        <v>233</v>
      </c>
      <c r="E10" s="30">
        <v>30711</v>
      </c>
    </row>
    <row r="11" spans="1:5" x14ac:dyDescent="0.35">
      <c r="A11" s="18" t="s">
        <v>234</v>
      </c>
      <c r="B11" s="5" t="s">
        <v>11</v>
      </c>
      <c r="C11" s="19" t="s">
        <v>38</v>
      </c>
      <c r="D11" s="19" t="s">
        <v>179</v>
      </c>
      <c r="E11" s="30">
        <v>58173</v>
      </c>
    </row>
    <row r="12" spans="1:5" x14ac:dyDescent="0.35">
      <c r="A12" s="18" t="s">
        <v>235</v>
      </c>
      <c r="B12" s="5" t="s">
        <v>11</v>
      </c>
      <c r="C12" s="19" t="s">
        <v>14</v>
      </c>
      <c r="D12" s="19" t="s">
        <v>236</v>
      </c>
      <c r="E12" s="30">
        <v>682152</v>
      </c>
    </row>
    <row r="13" spans="1:5" x14ac:dyDescent="0.35">
      <c r="A13" s="18" t="s">
        <v>237</v>
      </c>
      <c r="B13" s="5" t="s">
        <v>11</v>
      </c>
      <c r="C13" s="19" t="s">
        <v>26</v>
      </c>
      <c r="D13" s="19" t="s">
        <v>89</v>
      </c>
      <c r="E13" s="30">
        <v>175461</v>
      </c>
    </row>
    <row r="14" spans="1:5" x14ac:dyDescent="0.35">
      <c r="A14" s="18" t="s">
        <v>235</v>
      </c>
      <c r="B14" s="5" t="s">
        <v>11</v>
      </c>
      <c r="C14" s="19" t="s">
        <v>20</v>
      </c>
      <c r="D14" s="19" t="s">
        <v>238</v>
      </c>
      <c r="E14" s="30">
        <v>682152</v>
      </c>
    </row>
    <row r="15" spans="1:5" x14ac:dyDescent="0.35">
      <c r="A15" s="18" t="s">
        <v>230</v>
      </c>
      <c r="B15" s="5" t="s">
        <v>11</v>
      </c>
      <c r="C15" s="19" t="s">
        <v>12</v>
      </c>
      <c r="D15" s="19" t="s">
        <v>239</v>
      </c>
      <c r="E15" s="30">
        <v>4000000</v>
      </c>
    </row>
    <row r="16" spans="1:5" x14ac:dyDescent="0.35">
      <c r="A16" s="18" t="s">
        <v>240</v>
      </c>
      <c r="B16" s="5" t="s">
        <v>11</v>
      </c>
      <c r="C16" s="19" t="s">
        <v>21</v>
      </c>
      <c r="D16" s="19" t="s">
        <v>241</v>
      </c>
      <c r="E16" s="30">
        <v>209569</v>
      </c>
    </row>
    <row r="17" spans="1:5" x14ac:dyDescent="0.35">
      <c r="A17" s="18" t="s">
        <v>228</v>
      </c>
      <c r="B17" s="5" t="s">
        <v>11</v>
      </c>
      <c r="C17" s="19" t="s">
        <v>23</v>
      </c>
      <c r="D17" s="19" t="s">
        <v>242</v>
      </c>
      <c r="E17" s="30">
        <v>436627</v>
      </c>
    </row>
    <row r="18" spans="1:5" x14ac:dyDescent="0.35">
      <c r="A18" s="7" t="s">
        <v>44</v>
      </c>
      <c r="B18" s="8"/>
      <c r="C18" s="8"/>
      <c r="D18" s="8"/>
      <c r="E18" s="31">
        <f>SUM(E4:E17)</f>
        <v>14900941</v>
      </c>
    </row>
    <row r="19" spans="1:5" x14ac:dyDescent="0.35">
      <c r="A19" s="18" t="s">
        <v>228</v>
      </c>
      <c r="B19" s="10" t="s">
        <v>45</v>
      </c>
      <c r="C19" s="19" t="s">
        <v>46</v>
      </c>
      <c r="D19" s="19" t="s">
        <v>243</v>
      </c>
      <c r="E19" s="30">
        <v>1075851</v>
      </c>
    </row>
    <row r="20" spans="1:5" x14ac:dyDescent="0.35">
      <c r="A20" s="18" t="s">
        <v>244</v>
      </c>
      <c r="B20" s="10" t="s">
        <v>45</v>
      </c>
      <c r="C20" s="19" t="s">
        <v>46</v>
      </c>
      <c r="D20" s="19" t="s">
        <v>245</v>
      </c>
      <c r="E20" s="30">
        <v>394402</v>
      </c>
    </row>
    <row r="21" spans="1:5" x14ac:dyDescent="0.35">
      <c r="A21" s="18" t="s">
        <v>244</v>
      </c>
      <c r="B21" s="10" t="s">
        <v>45</v>
      </c>
      <c r="C21" s="19" t="s">
        <v>46</v>
      </c>
      <c r="D21" s="19" t="s">
        <v>245</v>
      </c>
      <c r="E21" s="30">
        <v>197201</v>
      </c>
    </row>
    <row r="22" spans="1:5" x14ac:dyDescent="0.35">
      <c r="A22" s="18" t="s">
        <v>244</v>
      </c>
      <c r="B22" s="10" t="s">
        <v>45</v>
      </c>
      <c r="C22" s="19" t="s">
        <v>46</v>
      </c>
      <c r="D22" s="19" t="s">
        <v>245</v>
      </c>
      <c r="E22" s="30">
        <v>197201</v>
      </c>
    </row>
    <row r="23" spans="1:5" x14ac:dyDescent="0.35">
      <c r="A23" s="18" t="s">
        <v>246</v>
      </c>
      <c r="B23" s="10" t="s">
        <v>45</v>
      </c>
      <c r="C23" s="19" t="s">
        <v>46</v>
      </c>
      <c r="D23" s="19" t="s">
        <v>247</v>
      </c>
      <c r="E23" s="30">
        <v>14529107</v>
      </c>
    </row>
    <row r="24" spans="1:5" x14ac:dyDescent="0.35">
      <c r="A24" s="18" t="s">
        <v>246</v>
      </c>
      <c r="B24" s="10" t="s">
        <v>45</v>
      </c>
      <c r="C24" s="19" t="s">
        <v>46</v>
      </c>
      <c r="D24" s="19" t="s">
        <v>248</v>
      </c>
      <c r="E24" s="30">
        <v>107380</v>
      </c>
    </row>
    <row r="25" spans="1:5" x14ac:dyDescent="0.35">
      <c r="A25" s="18" t="s">
        <v>246</v>
      </c>
      <c r="B25" s="10" t="s">
        <v>45</v>
      </c>
      <c r="C25" s="19" t="s">
        <v>46</v>
      </c>
      <c r="D25" s="19" t="s">
        <v>248</v>
      </c>
      <c r="E25" s="30">
        <v>53690</v>
      </c>
    </row>
    <row r="26" spans="1:5" x14ac:dyDescent="0.35">
      <c r="A26" s="18" t="s">
        <v>249</v>
      </c>
      <c r="B26" s="10" t="s">
        <v>45</v>
      </c>
      <c r="C26" s="19" t="s">
        <v>46</v>
      </c>
      <c r="D26" s="19" t="s">
        <v>212</v>
      </c>
      <c r="E26" s="30">
        <v>23705780</v>
      </c>
    </row>
    <row r="27" spans="1:5" x14ac:dyDescent="0.35">
      <c r="A27" s="18" t="s">
        <v>237</v>
      </c>
      <c r="B27" s="10" t="s">
        <v>45</v>
      </c>
      <c r="C27" s="19" t="s">
        <v>46</v>
      </c>
      <c r="D27" s="19" t="s">
        <v>212</v>
      </c>
      <c r="E27" s="30">
        <v>37948253</v>
      </c>
    </row>
    <row r="28" spans="1:5" x14ac:dyDescent="0.35">
      <c r="A28" s="18" t="s">
        <v>237</v>
      </c>
      <c r="B28" s="10" t="s">
        <v>45</v>
      </c>
      <c r="C28" s="19" t="s">
        <v>46</v>
      </c>
      <c r="D28" s="19" t="s">
        <v>114</v>
      </c>
      <c r="E28" s="30">
        <v>540422</v>
      </c>
    </row>
    <row r="29" spans="1:5" x14ac:dyDescent="0.35">
      <c r="A29" s="18" t="s">
        <v>250</v>
      </c>
      <c r="B29" s="10" t="s">
        <v>45</v>
      </c>
      <c r="C29" s="19" t="s">
        <v>46</v>
      </c>
      <c r="D29" s="19" t="s">
        <v>212</v>
      </c>
      <c r="E29" s="30">
        <v>36315949</v>
      </c>
    </row>
    <row r="30" spans="1:5" x14ac:dyDescent="0.35">
      <c r="A30" s="18" t="s">
        <v>250</v>
      </c>
      <c r="B30" s="10" t="s">
        <v>45</v>
      </c>
      <c r="C30" s="19" t="s">
        <v>46</v>
      </c>
      <c r="D30" s="19" t="s">
        <v>212</v>
      </c>
      <c r="E30" s="30">
        <v>45134693</v>
      </c>
    </row>
    <row r="31" spans="1:5" x14ac:dyDescent="0.35">
      <c r="A31" s="18" t="s">
        <v>250</v>
      </c>
      <c r="B31" s="10" t="s">
        <v>45</v>
      </c>
      <c r="C31" s="19" t="s">
        <v>46</v>
      </c>
      <c r="D31" s="19" t="s">
        <v>251</v>
      </c>
      <c r="E31" s="30">
        <v>198235</v>
      </c>
    </row>
    <row r="32" spans="1:5" x14ac:dyDescent="0.35">
      <c r="A32" s="18" t="s">
        <v>252</v>
      </c>
      <c r="B32" s="10" t="s">
        <v>45</v>
      </c>
      <c r="C32" s="19" t="s">
        <v>46</v>
      </c>
      <c r="D32" s="19" t="s">
        <v>212</v>
      </c>
      <c r="E32" s="30">
        <v>20982151</v>
      </c>
    </row>
    <row r="33" spans="1:5" x14ac:dyDescent="0.35">
      <c r="A33" s="18" t="s">
        <v>253</v>
      </c>
      <c r="B33" s="10" t="s">
        <v>45</v>
      </c>
      <c r="C33" s="19" t="s">
        <v>46</v>
      </c>
      <c r="D33" s="19" t="s">
        <v>212</v>
      </c>
      <c r="E33" s="30">
        <v>27417644</v>
      </c>
    </row>
    <row r="34" spans="1:5" x14ac:dyDescent="0.35">
      <c r="A34" s="18" t="s">
        <v>223</v>
      </c>
      <c r="B34" s="10" t="s">
        <v>45</v>
      </c>
      <c r="C34" s="19" t="s">
        <v>46</v>
      </c>
      <c r="D34" s="19" t="s">
        <v>212</v>
      </c>
      <c r="E34" s="30">
        <v>43519872</v>
      </c>
    </row>
    <row r="35" spans="1:5" x14ac:dyDescent="0.35">
      <c r="A35" s="18" t="s">
        <v>254</v>
      </c>
      <c r="B35" s="10" t="s">
        <v>45</v>
      </c>
      <c r="C35" s="19" t="s">
        <v>46</v>
      </c>
      <c r="D35" s="19" t="s">
        <v>212</v>
      </c>
      <c r="E35" s="30">
        <v>34197838</v>
      </c>
    </row>
    <row r="36" spans="1:5" x14ac:dyDescent="0.35">
      <c r="A36" s="18" t="s">
        <v>244</v>
      </c>
      <c r="B36" s="10" t="s">
        <v>45</v>
      </c>
      <c r="C36" s="19" t="s">
        <v>51</v>
      </c>
      <c r="D36" s="19" t="s">
        <v>150</v>
      </c>
      <c r="E36" s="30">
        <v>176000</v>
      </c>
    </row>
    <row r="37" spans="1:5" x14ac:dyDescent="0.35">
      <c r="A37" s="18" t="s">
        <v>255</v>
      </c>
      <c r="B37" s="10" t="s">
        <v>45</v>
      </c>
      <c r="C37" s="19" t="s">
        <v>48</v>
      </c>
      <c r="D37" s="19" t="s">
        <v>256</v>
      </c>
      <c r="E37" s="30">
        <v>384781</v>
      </c>
    </row>
    <row r="38" spans="1:5" x14ac:dyDescent="0.35">
      <c r="A38" s="18" t="s">
        <v>237</v>
      </c>
      <c r="B38" s="10" t="s">
        <v>45</v>
      </c>
      <c r="C38" s="19" t="s">
        <v>48</v>
      </c>
      <c r="D38" s="19" t="s">
        <v>256</v>
      </c>
      <c r="E38" s="30">
        <v>210554</v>
      </c>
    </row>
    <row r="39" spans="1:5" x14ac:dyDescent="0.35">
      <c r="A39" s="18" t="s">
        <v>237</v>
      </c>
      <c r="B39" s="10" t="s">
        <v>45</v>
      </c>
      <c r="C39" s="19" t="s">
        <v>48</v>
      </c>
      <c r="D39" s="19" t="s">
        <v>256</v>
      </c>
      <c r="E39" s="30">
        <v>386015</v>
      </c>
    </row>
    <row r="40" spans="1:5" x14ac:dyDescent="0.35">
      <c r="A40" s="18" t="s">
        <v>231</v>
      </c>
      <c r="B40" s="10" t="s">
        <v>45</v>
      </c>
      <c r="C40" s="19" t="s">
        <v>48</v>
      </c>
      <c r="D40" s="19" t="s">
        <v>256</v>
      </c>
      <c r="E40" s="30">
        <v>736939</v>
      </c>
    </row>
    <row r="41" spans="1:5" x14ac:dyDescent="0.35">
      <c r="A41" s="18" t="s">
        <v>257</v>
      </c>
      <c r="B41" s="10" t="s">
        <v>45</v>
      </c>
      <c r="C41" s="19" t="s">
        <v>48</v>
      </c>
      <c r="D41" s="19" t="s">
        <v>258</v>
      </c>
      <c r="E41" s="30">
        <v>560180</v>
      </c>
    </row>
    <row r="42" spans="1:5" x14ac:dyDescent="0.35">
      <c r="A42" s="18" t="s">
        <v>257</v>
      </c>
      <c r="B42" s="10" t="s">
        <v>45</v>
      </c>
      <c r="C42" s="19" t="s">
        <v>55</v>
      </c>
      <c r="D42" s="19" t="s">
        <v>259</v>
      </c>
      <c r="E42" s="30">
        <v>975414</v>
      </c>
    </row>
    <row r="43" spans="1:5" x14ac:dyDescent="0.35">
      <c r="A43" s="18" t="s">
        <v>250</v>
      </c>
      <c r="B43" s="10" t="s">
        <v>45</v>
      </c>
      <c r="C43" s="19" t="s">
        <v>58</v>
      </c>
      <c r="D43" s="19" t="s">
        <v>260</v>
      </c>
      <c r="E43" s="30">
        <v>17527</v>
      </c>
    </row>
    <row r="44" spans="1:5" x14ac:dyDescent="0.35">
      <c r="A44" s="18" t="s">
        <v>250</v>
      </c>
      <c r="B44" s="10" t="s">
        <v>45</v>
      </c>
      <c r="C44" s="19" t="s">
        <v>58</v>
      </c>
      <c r="D44" s="19" t="s">
        <v>260</v>
      </c>
      <c r="E44" s="30">
        <v>17527</v>
      </c>
    </row>
    <row r="45" spans="1:5" x14ac:dyDescent="0.35">
      <c r="A45" s="7" t="s">
        <v>59</v>
      </c>
      <c r="B45" s="8"/>
      <c r="C45" s="8"/>
      <c r="D45" s="8"/>
      <c r="E45" s="31">
        <f>SUM(E19:E44)</f>
        <v>289980606</v>
      </c>
    </row>
    <row r="46" spans="1:5" x14ac:dyDescent="0.35">
      <c r="A46" s="18" t="s">
        <v>240</v>
      </c>
      <c r="B46" s="12" t="s">
        <v>60</v>
      </c>
      <c r="C46" s="19" t="s">
        <v>62</v>
      </c>
      <c r="D46" s="19" t="s">
        <v>126</v>
      </c>
      <c r="E46" s="30">
        <v>5000</v>
      </c>
    </row>
    <row r="47" spans="1:5" x14ac:dyDescent="0.35">
      <c r="A47" s="18" t="s">
        <v>255</v>
      </c>
      <c r="B47" s="12" t="s">
        <v>60</v>
      </c>
      <c r="C47" s="19" t="s">
        <v>62</v>
      </c>
      <c r="D47" s="19" t="s">
        <v>126</v>
      </c>
      <c r="E47" s="30">
        <v>5000</v>
      </c>
    </row>
    <row r="48" spans="1:5" x14ac:dyDescent="0.35">
      <c r="A48" s="18" t="s">
        <v>250</v>
      </c>
      <c r="B48" s="12" t="s">
        <v>60</v>
      </c>
      <c r="C48" s="19" t="s">
        <v>62</v>
      </c>
      <c r="D48" s="19" t="s">
        <v>126</v>
      </c>
      <c r="E48" s="30">
        <v>5000</v>
      </c>
    </row>
    <row r="49" spans="1:5" x14ac:dyDescent="0.35">
      <c r="A49" s="18" t="s">
        <v>252</v>
      </c>
      <c r="B49" s="12" t="s">
        <v>60</v>
      </c>
      <c r="C49" s="19" t="s">
        <v>62</v>
      </c>
      <c r="D49" s="19" t="s">
        <v>126</v>
      </c>
      <c r="E49" s="30">
        <v>5000</v>
      </c>
    </row>
    <row r="50" spans="1:5" x14ac:dyDescent="0.35">
      <c r="A50" s="18" t="s">
        <v>261</v>
      </c>
      <c r="B50" s="12" t="s">
        <v>60</v>
      </c>
      <c r="C50" s="19" t="s">
        <v>62</v>
      </c>
      <c r="D50" s="19" t="s">
        <v>126</v>
      </c>
      <c r="E50" s="30">
        <v>5000</v>
      </c>
    </row>
    <row r="51" spans="1:5" x14ac:dyDescent="0.35">
      <c r="A51" s="18" t="s">
        <v>235</v>
      </c>
      <c r="B51" s="12" t="s">
        <v>60</v>
      </c>
      <c r="C51" s="19" t="s">
        <v>62</v>
      </c>
      <c r="D51" s="19" t="s">
        <v>126</v>
      </c>
      <c r="E51" s="30">
        <v>5000</v>
      </c>
    </row>
    <row r="52" spans="1:5" x14ac:dyDescent="0.35">
      <c r="A52" s="18" t="s">
        <v>230</v>
      </c>
      <c r="B52" s="12" t="s">
        <v>60</v>
      </c>
      <c r="C52" s="19" t="s">
        <v>63</v>
      </c>
      <c r="D52" s="19" t="s">
        <v>127</v>
      </c>
      <c r="E52" s="30">
        <v>321</v>
      </c>
    </row>
    <row r="53" spans="1:5" x14ac:dyDescent="0.35">
      <c r="A53" s="7" t="s">
        <v>64</v>
      </c>
      <c r="B53" s="8"/>
      <c r="C53" s="8"/>
      <c r="D53" s="8"/>
      <c r="E53" s="31">
        <f>SUM(E46:E52)</f>
        <v>30321</v>
      </c>
    </row>
    <row r="54" spans="1:5" x14ac:dyDescent="0.35">
      <c r="A54" s="18" t="s">
        <v>249</v>
      </c>
      <c r="B54" s="14" t="s">
        <v>65</v>
      </c>
      <c r="C54" s="19" t="s">
        <v>66</v>
      </c>
      <c r="D54" s="19" t="s">
        <v>262</v>
      </c>
      <c r="E54" s="30">
        <v>9600000</v>
      </c>
    </row>
    <row r="55" spans="1:5" x14ac:dyDescent="0.35">
      <c r="A55" s="18" t="s">
        <v>263</v>
      </c>
      <c r="B55" s="14" t="s">
        <v>65</v>
      </c>
      <c r="C55" s="19" t="s">
        <v>66</v>
      </c>
      <c r="D55" s="19" t="s">
        <v>264</v>
      </c>
      <c r="E55" s="30">
        <v>35000000</v>
      </c>
    </row>
    <row r="56" spans="1:5" x14ac:dyDescent="0.35">
      <c r="A56" s="18" t="s">
        <v>235</v>
      </c>
      <c r="B56" s="14" t="s">
        <v>65</v>
      </c>
      <c r="C56" s="19" t="s">
        <v>66</v>
      </c>
      <c r="D56" s="19" t="s">
        <v>265</v>
      </c>
      <c r="E56" s="30">
        <v>1000000</v>
      </c>
    </row>
    <row r="57" spans="1:5" x14ac:dyDescent="0.35">
      <c r="A57" s="18" t="s">
        <v>227</v>
      </c>
      <c r="B57" s="14" t="s">
        <v>65</v>
      </c>
      <c r="C57" s="19" t="s">
        <v>67</v>
      </c>
      <c r="D57" s="19" t="s">
        <v>156</v>
      </c>
      <c r="E57" s="30">
        <v>70000</v>
      </c>
    </row>
    <row r="58" spans="1:5" x14ac:dyDescent="0.35">
      <c r="A58" s="18" t="s">
        <v>253</v>
      </c>
      <c r="B58" s="14" t="s">
        <v>65</v>
      </c>
      <c r="C58" s="19" t="s">
        <v>67</v>
      </c>
      <c r="D58" s="19" t="s">
        <v>156</v>
      </c>
      <c r="E58" s="30">
        <v>52000</v>
      </c>
    </row>
    <row r="59" spans="1:5" x14ac:dyDescent="0.35">
      <c r="A59" s="18" t="s">
        <v>235</v>
      </c>
      <c r="B59" s="14" t="s">
        <v>65</v>
      </c>
      <c r="C59" s="19" t="s">
        <v>67</v>
      </c>
      <c r="D59" s="19" t="s">
        <v>156</v>
      </c>
      <c r="E59" s="30">
        <v>60000</v>
      </c>
    </row>
    <row r="60" spans="1:5" x14ac:dyDescent="0.35">
      <c r="A60" s="18" t="s">
        <v>266</v>
      </c>
      <c r="B60" s="14" t="s">
        <v>65</v>
      </c>
      <c r="C60" s="19" t="s">
        <v>67</v>
      </c>
      <c r="D60" s="19" t="s">
        <v>156</v>
      </c>
      <c r="E60" s="30">
        <v>200000</v>
      </c>
    </row>
    <row r="61" spans="1:5" x14ac:dyDescent="0.35">
      <c r="A61" s="7" t="s">
        <v>68</v>
      </c>
      <c r="B61" s="8"/>
      <c r="C61" s="8"/>
      <c r="D61" s="8"/>
      <c r="E61" s="31">
        <f>SUM(E54:E60)</f>
        <v>45982000</v>
      </c>
    </row>
    <row r="63" spans="1:5" ht="21.75" customHeight="1" x14ac:dyDescent="0.35">
      <c r="A63" s="15" t="s">
        <v>135</v>
      </c>
      <c r="B63" s="16"/>
      <c r="C63" s="16"/>
      <c r="D63" s="16"/>
      <c r="E63" s="31">
        <f>E18+E45+E53+E61</f>
        <v>350893868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0"/>
  <sheetViews>
    <sheetView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267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268</v>
      </c>
      <c r="B4" s="5" t="s">
        <v>11</v>
      </c>
      <c r="C4" s="19" t="s">
        <v>13</v>
      </c>
      <c r="D4" s="19" t="s">
        <v>269</v>
      </c>
      <c r="E4" s="30">
        <v>2835511</v>
      </c>
    </row>
    <row r="5" spans="1:5" x14ac:dyDescent="0.35">
      <c r="A5" s="18" t="s">
        <v>270</v>
      </c>
      <c r="B5" s="5" t="s">
        <v>11</v>
      </c>
      <c r="C5" s="19" t="s">
        <v>35</v>
      </c>
      <c r="D5" s="19" t="s">
        <v>271</v>
      </c>
      <c r="E5" s="30">
        <v>212868</v>
      </c>
    </row>
    <row r="6" spans="1:5" x14ac:dyDescent="0.35">
      <c r="A6" s="18" t="s">
        <v>268</v>
      </c>
      <c r="B6" s="5" t="s">
        <v>11</v>
      </c>
      <c r="C6" s="19" t="s">
        <v>22</v>
      </c>
      <c r="D6" s="19" t="s">
        <v>77</v>
      </c>
      <c r="E6" s="30">
        <v>263441</v>
      </c>
    </row>
    <row r="7" spans="1:5" x14ac:dyDescent="0.35">
      <c r="A7" s="18" t="s">
        <v>272</v>
      </c>
      <c r="B7" s="5" t="s">
        <v>11</v>
      </c>
      <c r="C7" s="19" t="s">
        <v>29</v>
      </c>
      <c r="D7" s="19" t="s">
        <v>79</v>
      </c>
      <c r="E7" s="30">
        <v>95000</v>
      </c>
    </row>
    <row r="8" spans="1:5" x14ac:dyDescent="0.35">
      <c r="A8" s="18" t="s">
        <v>273</v>
      </c>
      <c r="B8" s="5" t="s">
        <v>11</v>
      </c>
      <c r="C8" s="19" t="s">
        <v>28</v>
      </c>
      <c r="D8" s="19" t="s">
        <v>274</v>
      </c>
      <c r="E8" s="30">
        <v>527320</v>
      </c>
    </row>
    <row r="9" spans="1:5" x14ac:dyDescent="0.35">
      <c r="A9" s="18" t="s">
        <v>275</v>
      </c>
      <c r="B9" s="5" t="s">
        <v>11</v>
      </c>
      <c r="C9" s="19" t="s">
        <v>17</v>
      </c>
      <c r="D9" s="19" t="s">
        <v>276</v>
      </c>
      <c r="E9" s="30">
        <v>1810002</v>
      </c>
    </row>
    <row r="10" spans="1:5" x14ac:dyDescent="0.35">
      <c r="A10" s="18" t="s">
        <v>277</v>
      </c>
      <c r="B10" s="5" t="s">
        <v>11</v>
      </c>
      <c r="C10" s="19" t="s">
        <v>19</v>
      </c>
      <c r="D10" s="19" t="s">
        <v>85</v>
      </c>
      <c r="E10" s="30">
        <v>440784</v>
      </c>
    </row>
    <row r="11" spans="1:5" x14ac:dyDescent="0.35">
      <c r="A11" s="18" t="s">
        <v>278</v>
      </c>
      <c r="B11" s="5" t="s">
        <v>11</v>
      </c>
      <c r="C11" s="19" t="s">
        <v>16</v>
      </c>
      <c r="D11" s="19" t="s">
        <v>279</v>
      </c>
      <c r="E11" s="30">
        <v>1037737</v>
      </c>
    </row>
    <row r="12" spans="1:5" x14ac:dyDescent="0.35">
      <c r="A12" s="18" t="s">
        <v>280</v>
      </c>
      <c r="B12" s="5" t="s">
        <v>11</v>
      </c>
      <c r="C12" s="19" t="s">
        <v>30</v>
      </c>
      <c r="D12" s="19" t="s">
        <v>281</v>
      </c>
      <c r="E12" s="30">
        <v>85446</v>
      </c>
    </row>
    <row r="13" spans="1:5" x14ac:dyDescent="0.35">
      <c r="A13" s="18" t="s">
        <v>282</v>
      </c>
      <c r="B13" s="5" t="s">
        <v>11</v>
      </c>
      <c r="C13" s="19" t="s">
        <v>38</v>
      </c>
      <c r="D13" s="19" t="s">
        <v>179</v>
      </c>
      <c r="E13" s="30">
        <v>58591</v>
      </c>
    </row>
    <row r="14" spans="1:5" x14ac:dyDescent="0.35">
      <c r="A14" s="18" t="s">
        <v>283</v>
      </c>
      <c r="B14" s="5" t="s">
        <v>11</v>
      </c>
      <c r="C14" s="19" t="s">
        <v>34</v>
      </c>
      <c r="D14" s="19" t="s">
        <v>284</v>
      </c>
      <c r="E14" s="30">
        <v>353146</v>
      </c>
    </row>
    <row r="15" spans="1:5" x14ac:dyDescent="0.35">
      <c r="A15" s="18" t="s">
        <v>280</v>
      </c>
      <c r="B15" s="5" t="s">
        <v>11</v>
      </c>
      <c r="C15" s="19" t="s">
        <v>42</v>
      </c>
      <c r="D15" s="19" t="s">
        <v>285</v>
      </c>
      <c r="E15" s="30">
        <v>17524</v>
      </c>
    </row>
    <row r="16" spans="1:5" x14ac:dyDescent="0.35">
      <c r="A16" s="18" t="s">
        <v>280</v>
      </c>
      <c r="B16" s="5" t="s">
        <v>11</v>
      </c>
      <c r="C16" s="19" t="s">
        <v>14</v>
      </c>
      <c r="D16" s="19" t="s">
        <v>286</v>
      </c>
      <c r="E16" s="30">
        <v>3487341</v>
      </c>
    </row>
    <row r="17" spans="1:5" x14ac:dyDescent="0.35">
      <c r="A17" s="18" t="s">
        <v>287</v>
      </c>
      <c r="B17" s="5" t="s">
        <v>11</v>
      </c>
      <c r="C17" s="19" t="s">
        <v>14</v>
      </c>
      <c r="D17" s="19" t="s">
        <v>288</v>
      </c>
      <c r="E17" s="30">
        <v>3511948</v>
      </c>
    </row>
    <row r="18" spans="1:5" x14ac:dyDescent="0.35">
      <c r="A18" s="18" t="s">
        <v>282</v>
      </c>
      <c r="B18" s="5" t="s">
        <v>11</v>
      </c>
      <c r="C18" s="19" t="s">
        <v>14</v>
      </c>
      <c r="D18" s="19" t="s">
        <v>288</v>
      </c>
      <c r="E18" s="30">
        <v>688271</v>
      </c>
    </row>
    <row r="19" spans="1:5" x14ac:dyDescent="0.35">
      <c r="A19" s="18" t="s">
        <v>289</v>
      </c>
      <c r="B19" s="5" t="s">
        <v>11</v>
      </c>
      <c r="C19" s="19" t="s">
        <v>26</v>
      </c>
      <c r="D19" s="19" t="s">
        <v>184</v>
      </c>
      <c r="E19" s="30">
        <v>175887</v>
      </c>
    </row>
    <row r="20" spans="1:5" x14ac:dyDescent="0.35">
      <c r="A20" s="18" t="s">
        <v>282</v>
      </c>
      <c r="B20" s="5" t="s">
        <v>11</v>
      </c>
      <c r="C20" s="19" t="s">
        <v>20</v>
      </c>
      <c r="D20" s="19" t="s">
        <v>238</v>
      </c>
      <c r="E20" s="30">
        <v>688271</v>
      </c>
    </row>
    <row r="21" spans="1:5" x14ac:dyDescent="0.35">
      <c r="A21" s="18" t="s">
        <v>290</v>
      </c>
      <c r="B21" s="5" t="s">
        <v>11</v>
      </c>
      <c r="C21" s="19" t="s">
        <v>21</v>
      </c>
      <c r="D21" s="19" t="s">
        <v>291</v>
      </c>
      <c r="E21" s="30">
        <v>209257</v>
      </c>
    </row>
    <row r="22" spans="1:5" x14ac:dyDescent="0.35">
      <c r="A22" s="18" t="s">
        <v>287</v>
      </c>
      <c r="B22" s="5" t="s">
        <v>11</v>
      </c>
      <c r="C22" s="19" t="s">
        <v>23</v>
      </c>
      <c r="D22" s="19" t="s">
        <v>292</v>
      </c>
      <c r="E22" s="30">
        <v>455847</v>
      </c>
    </row>
    <row r="23" spans="1:5" x14ac:dyDescent="0.35">
      <c r="A23" s="7" t="s">
        <v>44</v>
      </c>
      <c r="B23" s="8"/>
      <c r="C23" s="8"/>
      <c r="D23" s="8"/>
      <c r="E23" s="31">
        <f>SUM(E4:E22)</f>
        <v>16954192</v>
      </c>
    </row>
    <row r="24" spans="1:5" x14ac:dyDescent="0.35">
      <c r="A24" s="18" t="s">
        <v>293</v>
      </c>
      <c r="B24" s="10" t="s">
        <v>45</v>
      </c>
      <c r="C24" s="19" t="s">
        <v>47</v>
      </c>
      <c r="D24" s="19" t="s">
        <v>294</v>
      </c>
      <c r="E24" s="30">
        <v>774251</v>
      </c>
    </row>
    <row r="25" spans="1:5" x14ac:dyDescent="0.35">
      <c r="A25" s="18" t="s">
        <v>295</v>
      </c>
      <c r="B25" s="10" t="s">
        <v>45</v>
      </c>
      <c r="C25" s="19" t="s">
        <v>47</v>
      </c>
      <c r="D25" s="19" t="s">
        <v>296</v>
      </c>
      <c r="E25" s="30">
        <v>39764362</v>
      </c>
    </row>
    <row r="26" spans="1:5" x14ac:dyDescent="0.35">
      <c r="A26" s="18" t="s">
        <v>282</v>
      </c>
      <c r="B26" s="10" t="s">
        <v>45</v>
      </c>
      <c r="C26" s="19" t="s">
        <v>57</v>
      </c>
      <c r="D26" s="19" t="s">
        <v>297</v>
      </c>
      <c r="E26" s="30">
        <v>18008</v>
      </c>
    </row>
    <row r="27" spans="1:5" x14ac:dyDescent="0.35">
      <c r="A27" s="18" t="s">
        <v>282</v>
      </c>
      <c r="B27" s="10" t="s">
        <v>45</v>
      </c>
      <c r="C27" s="19" t="s">
        <v>57</v>
      </c>
      <c r="D27" s="19" t="s">
        <v>298</v>
      </c>
      <c r="E27" s="30">
        <v>26967</v>
      </c>
    </row>
    <row r="28" spans="1:5" x14ac:dyDescent="0.35">
      <c r="A28" s="18" t="s">
        <v>299</v>
      </c>
      <c r="B28" s="10" t="s">
        <v>45</v>
      </c>
      <c r="C28" s="19" t="s">
        <v>53</v>
      </c>
      <c r="D28" s="19" t="s">
        <v>300</v>
      </c>
      <c r="E28" s="30">
        <v>526135</v>
      </c>
    </row>
    <row r="29" spans="1:5" x14ac:dyDescent="0.35">
      <c r="A29" s="18" t="s">
        <v>301</v>
      </c>
      <c r="B29" s="10" t="s">
        <v>45</v>
      </c>
      <c r="C29" s="19" t="s">
        <v>53</v>
      </c>
      <c r="D29" s="19" t="s">
        <v>300</v>
      </c>
      <c r="E29" s="30">
        <v>882399</v>
      </c>
    </row>
    <row r="30" spans="1:5" x14ac:dyDescent="0.35">
      <c r="A30" s="18" t="s">
        <v>302</v>
      </c>
      <c r="B30" s="10" t="s">
        <v>45</v>
      </c>
      <c r="C30" s="19" t="s">
        <v>53</v>
      </c>
      <c r="D30" s="19" t="s">
        <v>300</v>
      </c>
      <c r="E30" s="30">
        <v>352959</v>
      </c>
    </row>
    <row r="31" spans="1:5" x14ac:dyDescent="0.35">
      <c r="A31" s="18" t="s">
        <v>290</v>
      </c>
      <c r="B31" s="10" t="s">
        <v>45</v>
      </c>
      <c r="C31" s="19" t="s">
        <v>46</v>
      </c>
      <c r="D31" s="19" t="s">
        <v>210</v>
      </c>
      <c r="E31" s="30">
        <v>608240</v>
      </c>
    </row>
    <row r="32" spans="1:5" x14ac:dyDescent="0.35">
      <c r="A32" s="18" t="s">
        <v>278</v>
      </c>
      <c r="B32" s="10" t="s">
        <v>45</v>
      </c>
      <c r="C32" s="19" t="s">
        <v>46</v>
      </c>
      <c r="D32" s="19" t="s">
        <v>303</v>
      </c>
      <c r="E32" s="30">
        <v>175887</v>
      </c>
    </row>
    <row r="33" spans="1:5" x14ac:dyDescent="0.35">
      <c r="A33" s="18" t="s">
        <v>302</v>
      </c>
      <c r="B33" s="10" t="s">
        <v>45</v>
      </c>
      <c r="C33" s="19" t="s">
        <v>46</v>
      </c>
      <c r="D33" s="19" t="s">
        <v>304</v>
      </c>
      <c r="E33" s="30">
        <v>199598</v>
      </c>
    </row>
    <row r="34" spans="1:5" x14ac:dyDescent="0.35">
      <c r="A34" s="18" t="s">
        <v>273</v>
      </c>
      <c r="B34" s="10" t="s">
        <v>45</v>
      </c>
      <c r="C34" s="19" t="s">
        <v>46</v>
      </c>
      <c r="D34" s="19" t="s">
        <v>305</v>
      </c>
      <c r="E34" s="30">
        <v>198799</v>
      </c>
    </row>
    <row r="35" spans="1:5" x14ac:dyDescent="0.35">
      <c r="A35" s="18" t="s">
        <v>306</v>
      </c>
      <c r="B35" s="10" t="s">
        <v>45</v>
      </c>
      <c r="C35" s="19" t="s">
        <v>51</v>
      </c>
      <c r="D35" s="19" t="s">
        <v>307</v>
      </c>
      <c r="E35" s="30">
        <v>611669</v>
      </c>
    </row>
    <row r="36" spans="1:5" x14ac:dyDescent="0.35">
      <c r="A36" s="18" t="s">
        <v>308</v>
      </c>
      <c r="B36" s="10" t="s">
        <v>45</v>
      </c>
      <c r="C36" s="19" t="s">
        <v>51</v>
      </c>
      <c r="D36" s="19" t="s">
        <v>307</v>
      </c>
      <c r="E36" s="30">
        <v>245814</v>
      </c>
    </row>
    <row r="37" spans="1:5" x14ac:dyDescent="0.35">
      <c r="A37" s="18" t="s">
        <v>268</v>
      </c>
      <c r="B37" s="10" t="s">
        <v>45</v>
      </c>
      <c r="C37" s="19" t="s">
        <v>54</v>
      </c>
      <c r="D37" s="19" t="s">
        <v>309</v>
      </c>
      <c r="E37" s="30">
        <v>1053870</v>
      </c>
    </row>
    <row r="38" spans="1:5" x14ac:dyDescent="0.35">
      <c r="A38" s="7" t="s">
        <v>59</v>
      </c>
      <c r="B38" s="8"/>
      <c r="C38" s="8"/>
      <c r="D38" s="8"/>
      <c r="E38" s="31">
        <f>SUM(E24:E37)</f>
        <v>45438958</v>
      </c>
    </row>
    <row r="39" spans="1:5" x14ac:dyDescent="0.35">
      <c r="A39" s="18" t="s">
        <v>290</v>
      </c>
      <c r="B39" s="12" t="s">
        <v>60</v>
      </c>
      <c r="C39" s="19" t="s">
        <v>62</v>
      </c>
      <c r="D39" s="19" t="s">
        <v>126</v>
      </c>
      <c r="E39" s="30">
        <v>5000</v>
      </c>
    </row>
    <row r="40" spans="1:5" x14ac:dyDescent="0.35">
      <c r="A40" s="18" t="s">
        <v>280</v>
      </c>
      <c r="B40" s="12" t="s">
        <v>60</v>
      </c>
      <c r="C40" s="19" t="s">
        <v>62</v>
      </c>
      <c r="D40" s="19" t="s">
        <v>126</v>
      </c>
      <c r="E40" s="30">
        <v>5000</v>
      </c>
    </row>
    <row r="41" spans="1:5" x14ac:dyDescent="0.35">
      <c r="A41" s="18" t="s">
        <v>310</v>
      </c>
      <c r="B41" s="12" t="s">
        <v>60</v>
      </c>
      <c r="C41" s="19" t="s">
        <v>62</v>
      </c>
      <c r="D41" s="19" t="s">
        <v>126</v>
      </c>
      <c r="E41" s="30">
        <v>5000</v>
      </c>
    </row>
    <row r="42" spans="1:5" x14ac:dyDescent="0.35">
      <c r="A42" s="18" t="s">
        <v>278</v>
      </c>
      <c r="B42" s="12" t="s">
        <v>60</v>
      </c>
      <c r="C42" s="19" t="s">
        <v>62</v>
      </c>
      <c r="D42" s="19" t="s">
        <v>126</v>
      </c>
      <c r="E42" s="30">
        <v>5000</v>
      </c>
    </row>
    <row r="43" spans="1:5" x14ac:dyDescent="0.35">
      <c r="A43" s="18" t="s">
        <v>306</v>
      </c>
      <c r="B43" s="12" t="s">
        <v>60</v>
      </c>
      <c r="C43" s="19" t="s">
        <v>62</v>
      </c>
      <c r="D43" s="19" t="s">
        <v>126</v>
      </c>
      <c r="E43" s="30">
        <v>5000</v>
      </c>
    </row>
    <row r="44" spans="1:5" x14ac:dyDescent="0.35">
      <c r="A44" s="18" t="s">
        <v>287</v>
      </c>
      <c r="B44" s="12" t="s">
        <v>60</v>
      </c>
      <c r="C44" s="19" t="s">
        <v>62</v>
      </c>
      <c r="D44" s="19" t="s">
        <v>126</v>
      </c>
      <c r="E44" s="30">
        <v>5000</v>
      </c>
    </row>
    <row r="45" spans="1:5" x14ac:dyDescent="0.35">
      <c r="A45" s="18" t="s">
        <v>282</v>
      </c>
      <c r="B45" s="12" t="s">
        <v>60</v>
      </c>
      <c r="C45" s="19" t="s">
        <v>62</v>
      </c>
      <c r="D45" s="19" t="s">
        <v>126</v>
      </c>
      <c r="E45" s="30">
        <v>5000</v>
      </c>
    </row>
    <row r="46" spans="1:5" x14ac:dyDescent="0.35">
      <c r="A46" s="18" t="s">
        <v>277</v>
      </c>
      <c r="B46" s="12" t="s">
        <v>60</v>
      </c>
      <c r="C46" s="19" t="s">
        <v>63</v>
      </c>
      <c r="D46" s="19" t="s">
        <v>127</v>
      </c>
      <c r="E46" s="30">
        <v>102</v>
      </c>
    </row>
    <row r="47" spans="1:5" x14ac:dyDescent="0.35">
      <c r="A47" s="7" t="s">
        <v>64</v>
      </c>
      <c r="B47" s="8"/>
      <c r="C47" s="8"/>
      <c r="D47" s="8"/>
      <c r="E47" s="31">
        <f>SUM(E39:E46)</f>
        <v>35102</v>
      </c>
    </row>
    <row r="48" spans="1:5" x14ac:dyDescent="0.35">
      <c r="A48" s="18" t="s">
        <v>278</v>
      </c>
      <c r="B48" s="14" t="s">
        <v>65</v>
      </c>
      <c r="C48" s="19" t="s">
        <v>66</v>
      </c>
      <c r="D48" s="19" t="s">
        <v>311</v>
      </c>
      <c r="E48" s="30">
        <v>1320000</v>
      </c>
    </row>
    <row r="49" spans="1:5" x14ac:dyDescent="0.35">
      <c r="A49" s="18" t="s">
        <v>268</v>
      </c>
      <c r="B49" s="14" t="s">
        <v>65</v>
      </c>
      <c r="C49" s="19" t="s">
        <v>66</v>
      </c>
      <c r="D49" s="19" t="s">
        <v>312</v>
      </c>
      <c r="E49" s="30">
        <v>30000000</v>
      </c>
    </row>
    <row r="50" spans="1:5" x14ac:dyDescent="0.35">
      <c r="A50" s="18" t="s">
        <v>313</v>
      </c>
      <c r="B50" s="14" t="s">
        <v>65</v>
      </c>
      <c r="C50" s="19" t="s">
        <v>66</v>
      </c>
      <c r="D50" s="19" t="s">
        <v>314</v>
      </c>
      <c r="E50" s="30">
        <v>12400000</v>
      </c>
    </row>
    <row r="51" spans="1:5" x14ac:dyDescent="0.35">
      <c r="A51" s="18" t="s">
        <v>308</v>
      </c>
      <c r="B51" s="14" t="s">
        <v>65</v>
      </c>
      <c r="C51" s="19" t="s">
        <v>66</v>
      </c>
      <c r="D51" s="19" t="s">
        <v>262</v>
      </c>
      <c r="E51" s="30">
        <v>5000000</v>
      </c>
    </row>
    <row r="52" spans="1:5" x14ac:dyDescent="0.35">
      <c r="A52" s="18" t="s">
        <v>277</v>
      </c>
      <c r="B52" s="14" t="s">
        <v>65</v>
      </c>
      <c r="C52" s="19" t="s">
        <v>66</v>
      </c>
      <c r="D52" s="19" t="s">
        <v>315</v>
      </c>
      <c r="E52" s="30">
        <v>2100000</v>
      </c>
    </row>
    <row r="53" spans="1:5" x14ac:dyDescent="0.35">
      <c r="A53" s="18" t="s">
        <v>316</v>
      </c>
      <c r="B53" s="14" t="s">
        <v>65</v>
      </c>
      <c r="C53" s="19" t="s">
        <v>66</v>
      </c>
      <c r="D53" s="19" t="s">
        <v>315</v>
      </c>
      <c r="E53" s="30">
        <v>3500000</v>
      </c>
    </row>
    <row r="54" spans="1:5" x14ac:dyDescent="0.35">
      <c r="A54" s="18" t="s">
        <v>283</v>
      </c>
      <c r="B54" s="14" t="s">
        <v>65</v>
      </c>
      <c r="C54" s="19" t="s">
        <v>66</v>
      </c>
      <c r="D54" s="19" t="s">
        <v>315</v>
      </c>
      <c r="E54" s="30">
        <v>3500000</v>
      </c>
    </row>
    <row r="55" spans="1:5" x14ac:dyDescent="0.35">
      <c r="A55" s="18" t="s">
        <v>290</v>
      </c>
      <c r="B55" s="14" t="s">
        <v>65</v>
      </c>
      <c r="C55" s="19" t="s">
        <v>67</v>
      </c>
      <c r="D55" s="19" t="s">
        <v>156</v>
      </c>
      <c r="E55" s="30">
        <v>60000</v>
      </c>
    </row>
    <row r="56" spans="1:5" x14ac:dyDescent="0.35">
      <c r="A56" s="18" t="s">
        <v>280</v>
      </c>
      <c r="B56" s="14" t="s">
        <v>65</v>
      </c>
      <c r="C56" s="19" t="s">
        <v>67</v>
      </c>
      <c r="D56" s="19" t="s">
        <v>156</v>
      </c>
      <c r="E56" s="30">
        <v>270000</v>
      </c>
    </row>
    <row r="57" spans="1:5" x14ac:dyDescent="0.35">
      <c r="A57" s="18" t="s">
        <v>280</v>
      </c>
      <c r="B57" s="14" t="s">
        <v>65</v>
      </c>
      <c r="C57" s="19" t="s">
        <v>67</v>
      </c>
      <c r="D57" s="19" t="s">
        <v>156</v>
      </c>
      <c r="E57" s="30">
        <v>170000</v>
      </c>
    </row>
    <row r="58" spans="1:5" x14ac:dyDescent="0.35">
      <c r="A58" s="18" t="s">
        <v>275</v>
      </c>
      <c r="B58" s="14" t="s">
        <v>65</v>
      </c>
      <c r="C58" s="19" t="s">
        <v>67</v>
      </c>
      <c r="D58" s="19" t="s">
        <v>156</v>
      </c>
      <c r="E58" s="30">
        <v>300000</v>
      </c>
    </row>
    <row r="59" spans="1:5" x14ac:dyDescent="0.35">
      <c r="A59" s="18" t="s">
        <v>275</v>
      </c>
      <c r="B59" s="14" t="s">
        <v>65</v>
      </c>
      <c r="C59" s="19" t="s">
        <v>67</v>
      </c>
      <c r="D59" s="19" t="s">
        <v>156</v>
      </c>
      <c r="E59" s="30">
        <v>200000</v>
      </c>
    </row>
    <row r="60" spans="1:5" x14ac:dyDescent="0.35">
      <c r="A60" s="18" t="s">
        <v>310</v>
      </c>
      <c r="B60" s="14" t="s">
        <v>65</v>
      </c>
      <c r="C60" s="19" t="s">
        <v>67</v>
      </c>
      <c r="D60" s="19" t="s">
        <v>156</v>
      </c>
      <c r="E60" s="30">
        <v>55000</v>
      </c>
    </row>
    <row r="61" spans="1:5" x14ac:dyDescent="0.35">
      <c r="A61" s="18" t="s">
        <v>310</v>
      </c>
      <c r="B61" s="14" t="s">
        <v>65</v>
      </c>
      <c r="C61" s="19" t="s">
        <v>67</v>
      </c>
      <c r="D61" s="19" t="s">
        <v>156</v>
      </c>
      <c r="E61" s="30">
        <v>150600</v>
      </c>
    </row>
    <row r="62" spans="1:5" x14ac:dyDescent="0.35">
      <c r="A62" s="18" t="s">
        <v>317</v>
      </c>
      <c r="B62" s="14" t="s">
        <v>65</v>
      </c>
      <c r="C62" s="19" t="s">
        <v>67</v>
      </c>
      <c r="D62" s="19" t="s">
        <v>156</v>
      </c>
      <c r="E62" s="30">
        <v>71000</v>
      </c>
    </row>
    <row r="63" spans="1:5" x14ac:dyDescent="0.35">
      <c r="A63" s="18" t="s">
        <v>272</v>
      </c>
      <c r="B63" s="14" t="s">
        <v>65</v>
      </c>
      <c r="C63" s="19" t="s">
        <v>67</v>
      </c>
      <c r="D63" s="19" t="s">
        <v>156</v>
      </c>
      <c r="E63" s="30">
        <v>100000</v>
      </c>
    </row>
    <row r="64" spans="1:5" x14ac:dyDescent="0.35">
      <c r="A64" s="18" t="s">
        <v>272</v>
      </c>
      <c r="B64" s="14" t="s">
        <v>65</v>
      </c>
      <c r="C64" s="19" t="s">
        <v>67</v>
      </c>
      <c r="D64" s="19" t="s">
        <v>156</v>
      </c>
      <c r="E64" s="30">
        <v>50000</v>
      </c>
    </row>
    <row r="65" spans="1:5" x14ac:dyDescent="0.35">
      <c r="A65" s="18" t="s">
        <v>272</v>
      </c>
      <c r="B65" s="14" t="s">
        <v>65</v>
      </c>
      <c r="C65" s="19" t="s">
        <v>67</v>
      </c>
      <c r="D65" s="19" t="s">
        <v>156</v>
      </c>
      <c r="E65" s="30">
        <v>289800</v>
      </c>
    </row>
    <row r="66" spans="1:5" x14ac:dyDescent="0.35">
      <c r="A66" s="18" t="s">
        <v>306</v>
      </c>
      <c r="B66" s="14" t="s">
        <v>65</v>
      </c>
      <c r="C66" s="19" t="s">
        <v>67</v>
      </c>
      <c r="D66" s="19" t="s">
        <v>156</v>
      </c>
      <c r="E66" s="30">
        <v>120000</v>
      </c>
    </row>
    <row r="67" spans="1:5" x14ac:dyDescent="0.35">
      <c r="A67" s="18" t="s">
        <v>306</v>
      </c>
      <c r="B67" s="14" t="s">
        <v>65</v>
      </c>
      <c r="C67" s="19" t="s">
        <v>67</v>
      </c>
      <c r="D67" s="19" t="s">
        <v>156</v>
      </c>
      <c r="E67" s="30">
        <v>250000</v>
      </c>
    </row>
    <row r="68" spans="1:5" x14ac:dyDescent="0.35">
      <c r="A68" s="18" t="s">
        <v>308</v>
      </c>
      <c r="B68" s="14" t="s">
        <v>65</v>
      </c>
      <c r="C68" s="19" t="s">
        <v>67</v>
      </c>
      <c r="D68" s="19" t="s">
        <v>156</v>
      </c>
      <c r="E68" s="30">
        <v>130000</v>
      </c>
    </row>
    <row r="69" spans="1:5" x14ac:dyDescent="0.35">
      <c r="A69" s="18" t="s">
        <v>270</v>
      </c>
      <c r="B69" s="14" t="s">
        <v>65</v>
      </c>
      <c r="C69" s="19" t="s">
        <v>67</v>
      </c>
      <c r="D69" s="19" t="s">
        <v>156</v>
      </c>
      <c r="E69" s="30">
        <v>1250000</v>
      </c>
    </row>
    <row r="70" spans="1:5" x14ac:dyDescent="0.35">
      <c r="A70" s="18" t="s">
        <v>270</v>
      </c>
      <c r="B70" s="14" t="s">
        <v>65</v>
      </c>
      <c r="C70" s="19" t="s">
        <v>67</v>
      </c>
      <c r="D70" s="19" t="s">
        <v>156</v>
      </c>
      <c r="E70" s="30">
        <v>199950</v>
      </c>
    </row>
    <row r="71" spans="1:5" x14ac:dyDescent="0.35">
      <c r="A71" s="18" t="s">
        <v>270</v>
      </c>
      <c r="B71" s="14" t="s">
        <v>65</v>
      </c>
      <c r="C71" s="19" t="s">
        <v>67</v>
      </c>
      <c r="D71" s="19" t="s">
        <v>156</v>
      </c>
      <c r="E71" s="30">
        <v>100000</v>
      </c>
    </row>
    <row r="72" spans="1:5" x14ac:dyDescent="0.35">
      <c r="A72" s="18" t="s">
        <v>270</v>
      </c>
      <c r="B72" s="14" t="s">
        <v>65</v>
      </c>
      <c r="C72" s="19" t="s">
        <v>67</v>
      </c>
      <c r="D72" s="19" t="s">
        <v>156</v>
      </c>
      <c r="E72" s="30">
        <v>328900</v>
      </c>
    </row>
    <row r="73" spans="1:5" x14ac:dyDescent="0.35">
      <c r="A73" s="18" t="s">
        <v>318</v>
      </c>
      <c r="B73" s="14" t="s">
        <v>65</v>
      </c>
      <c r="C73" s="19" t="s">
        <v>67</v>
      </c>
      <c r="D73" s="19" t="s">
        <v>156</v>
      </c>
      <c r="E73" s="30">
        <v>102000</v>
      </c>
    </row>
    <row r="74" spans="1:5" x14ac:dyDescent="0.35">
      <c r="A74" s="18" t="s">
        <v>319</v>
      </c>
      <c r="B74" s="14" t="s">
        <v>65</v>
      </c>
      <c r="C74" s="19" t="s">
        <v>67</v>
      </c>
      <c r="D74" s="19" t="s">
        <v>156</v>
      </c>
      <c r="E74" s="30">
        <v>115000</v>
      </c>
    </row>
    <row r="75" spans="1:5" x14ac:dyDescent="0.35">
      <c r="A75" s="18" t="s">
        <v>319</v>
      </c>
      <c r="B75" s="14" t="s">
        <v>65</v>
      </c>
      <c r="C75" s="19" t="s">
        <v>67</v>
      </c>
      <c r="D75" s="19" t="s">
        <v>156</v>
      </c>
      <c r="E75" s="30">
        <v>100000</v>
      </c>
    </row>
    <row r="76" spans="1:5" x14ac:dyDescent="0.35">
      <c r="A76" s="18" t="s">
        <v>319</v>
      </c>
      <c r="B76" s="14" t="s">
        <v>65</v>
      </c>
      <c r="C76" s="19" t="s">
        <v>67</v>
      </c>
      <c r="D76" s="19" t="s">
        <v>156</v>
      </c>
      <c r="E76" s="30">
        <v>252000</v>
      </c>
    </row>
    <row r="77" spans="1:5" x14ac:dyDescent="0.35">
      <c r="A77" s="18" t="s">
        <v>319</v>
      </c>
      <c r="B77" s="14" t="s">
        <v>65</v>
      </c>
      <c r="C77" s="19" t="s">
        <v>67</v>
      </c>
      <c r="D77" s="19" t="s">
        <v>156</v>
      </c>
      <c r="E77" s="30">
        <v>50000</v>
      </c>
    </row>
    <row r="78" spans="1:5" x14ac:dyDescent="0.35">
      <c r="A78" s="18" t="s">
        <v>316</v>
      </c>
      <c r="B78" s="14" t="s">
        <v>65</v>
      </c>
      <c r="C78" s="19" t="s">
        <v>67</v>
      </c>
      <c r="D78" s="19" t="s">
        <v>156</v>
      </c>
      <c r="E78" s="30">
        <v>927620</v>
      </c>
    </row>
    <row r="79" spans="1:5" x14ac:dyDescent="0.35">
      <c r="A79" s="18" t="s">
        <v>316</v>
      </c>
      <c r="B79" s="14" t="s">
        <v>65</v>
      </c>
      <c r="C79" s="19" t="s">
        <v>67</v>
      </c>
      <c r="D79" s="19" t="s">
        <v>156</v>
      </c>
      <c r="E79" s="30">
        <v>150000</v>
      </c>
    </row>
    <row r="80" spans="1:5" x14ac:dyDescent="0.35">
      <c r="A80" s="18" t="s">
        <v>316</v>
      </c>
      <c r="B80" s="14" t="s">
        <v>65</v>
      </c>
      <c r="C80" s="19" t="s">
        <v>67</v>
      </c>
      <c r="D80" s="19" t="s">
        <v>156</v>
      </c>
      <c r="E80" s="30">
        <v>100000</v>
      </c>
    </row>
    <row r="81" spans="1:5" x14ac:dyDescent="0.35">
      <c r="A81" s="18" t="s">
        <v>316</v>
      </c>
      <c r="B81" s="14" t="s">
        <v>65</v>
      </c>
      <c r="C81" s="19" t="s">
        <v>67</v>
      </c>
      <c r="D81" s="19" t="s">
        <v>156</v>
      </c>
      <c r="E81" s="30">
        <v>400000</v>
      </c>
    </row>
    <row r="82" spans="1:5" x14ac:dyDescent="0.35">
      <c r="A82" s="18" t="s">
        <v>316</v>
      </c>
      <c r="B82" s="14" t="s">
        <v>65</v>
      </c>
      <c r="C82" s="19" t="s">
        <v>67</v>
      </c>
      <c r="D82" s="19" t="s">
        <v>156</v>
      </c>
      <c r="E82" s="30">
        <v>102000</v>
      </c>
    </row>
    <row r="83" spans="1:5" x14ac:dyDescent="0.35">
      <c r="A83" s="18" t="s">
        <v>295</v>
      </c>
      <c r="B83" s="14" t="s">
        <v>65</v>
      </c>
      <c r="C83" s="19" t="s">
        <v>67</v>
      </c>
      <c r="D83" s="19" t="s">
        <v>156</v>
      </c>
      <c r="E83" s="30">
        <v>2000000</v>
      </c>
    </row>
    <row r="84" spans="1:5" x14ac:dyDescent="0.35">
      <c r="A84" s="18" t="s">
        <v>295</v>
      </c>
      <c r="B84" s="14" t="s">
        <v>65</v>
      </c>
      <c r="C84" s="19" t="s">
        <v>67</v>
      </c>
      <c r="D84" s="19" t="s">
        <v>156</v>
      </c>
      <c r="E84" s="30">
        <v>1000000</v>
      </c>
    </row>
    <row r="85" spans="1:5" x14ac:dyDescent="0.35">
      <c r="A85" s="18" t="s">
        <v>295</v>
      </c>
      <c r="B85" s="14" t="s">
        <v>65</v>
      </c>
      <c r="C85" s="19" t="s">
        <v>67</v>
      </c>
      <c r="D85" s="19" t="s">
        <v>156</v>
      </c>
      <c r="E85" s="30">
        <v>100000</v>
      </c>
    </row>
    <row r="86" spans="1:5" x14ac:dyDescent="0.35">
      <c r="A86" s="18" t="s">
        <v>295</v>
      </c>
      <c r="B86" s="14" t="s">
        <v>65</v>
      </c>
      <c r="C86" s="19" t="s">
        <v>67</v>
      </c>
      <c r="D86" s="19" t="s">
        <v>156</v>
      </c>
      <c r="E86" s="30">
        <v>50000</v>
      </c>
    </row>
    <row r="87" spans="1:5" x14ac:dyDescent="0.35">
      <c r="A87" s="18" t="s">
        <v>295</v>
      </c>
      <c r="B87" s="14" t="s">
        <v>65</v>
      </c>
      <c r="C87" s="19" t="s">
        <v>67</v>
      </c>
      <c r="D87" s="19" t="s">
        <v>156</v>
      </c>
      <c r="E87" s="30">
        <v>1000500</v>
      </c>
    </row>
    <row r="88" spans="1:5" x14ac:dyDescent="0.35">
      <c r="A88" s="7" t="s">
        <v>68</v>
      </c>
      <c r="B88" s="8"/>
      <c r="C88" s="8"/>
      <c r="D88" s="8"/>
      <c r="E88" s="31">
        <f>SUM(E48:E87)</f>
        <v>68364370</v>
      </c>
    </row>
    <row r="90" spans="1:5" ht="21.75" customHeight="1" x14ac:dyDescent="0.35">
      <c r="A90" s="15" t="s">
        <v>135</v>
      </c>
      <c r="B90" s="16"/>
      <c r="C90" s="16"/>
      <c r="D90" s="16"/>
      <c r="E90" s="31">
        <f>E23+E38+E47+E88</f>
        <v>130792622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tabSelected="1" zoomScaleNormal="100" workbookViewId="0">
      <pane ySplit="3" topLeftCell="A4" activePane="bottomLeft" state="frozen"/>
      <selection pane="bottomLeft" activeCell="E2" sqref="E1:E1048576"/>
    </sheetView>
  </sheetViews>
  <sheetFormatPr defaultColWidth="8.6328125" defaultRowHeight="14.5" x14ac:dyDescent="0.35"/>
  <cols>
    <col min="1" max="1" width="14" customWidth="1"/>
    <col min="2" max="2" width="24" customWidth="1"/>
    <col min="3" max="3" width="34" customWidth="1"/>
    <col min="4" max="4" width="55" customWidth="1"/>
    <col min="5" max="5" width="18" style="32" customWidth="1"/>
  </cols>
  <sheetData>
    <row r="1" spans="1:5" ht="27.75" customHeight="1" x14ac:dyDescent="0.35">
      <c r="A1" s="2" t="s">
        <v>320</v>
      </c>
      <c r="B1" s="2"/>
      <c r="C1" s="2"/>
      <c r="D1" s="2"/>
      <c r="E1" s="2"/>
    </row>
    <row r="3" spans="1:5" ht="21.75" customHeight="1" x14ac:dyDescent="0.35">
      <c r="A3" s="17" t="s">
        <v>71</v>
      </c>
      <c r="B3" s="17" t="s">
        <v>2</v>
      </c>
      <c r="C3" s="17" t="s">
        <v>3</v>
      </c>
      <c r="D3" s="17" t="s">
        <v>72</v>
      </c>
      <c r="E3" s="29" t="s">
        <v>73</v>
      </c>
    </row>
    <row r="4" spans="1:5" x14ac:dyDescent="0.35">
      <c r="A4" s="18" t="s">
        <v>321</v>
      </c>
      <c r="B4" s="5" t="s">
        <v>11</v>
      </c>
      <c r="C4" s="19" t="s">
        <v>22</v>
      </c>
      <c r="D4" s="19" t="s">
        <v>77</v>
      </c>
      <c r="E4" s="30">
        <v>266792</v>
      </c>
    </row>
    <row r="5" spans="1:5" x14ac:dyDescent="0.35">
      <c r="A5" s="18" t="s">
        <v>322</v>
      </c>
      <c r="B5" s="5" t="s">
        <v>11</v>
      </c>
      <c r="C5" s="19" t="s">
        <v>32</v>
      </c>
      <c r="D5" s="19" t="s">
        <v>323</v>
      </c>
      <c r="E5" s="30">
        <v>355459</v>
      </c>
    </row>
    <row r="6" spans="1:5" x14ac:dyDescent="0.35">
      <c r="A6" s="18" t="s">
        <v>321</v>
      </c>
      <c r="B6" s="5" t="s">
        <v>11</v>
      </c>
      <c r="C6" s="19" t="s">
        <v>25</v>
      </c>
      <c r="D6" s="19" t="s">
        <v>324</v>
      </c>
      <c r="E6" s="30">
        <v>1067170</v>
      </c>
    </row>
    <row r="7" spans="1:5" x14ac:dyDescent="0.35">
      <c r="A7" s="18" t="s">
        <v>325</v>
      </c>
      <c r="B7" s="5" t="s">
        <v>11</v>
      </c>
      <c r="C7" s="19" t="s">
        <v>17</v>
      </c>
      <c r="D7" s="19" t="s">
        <v>326</v>
      </c>
      <c r="E7" s="30">
        <v>1817306</v>
      </c>
    </row>
    <row r="8" spans="1:5" x14ac:dyDescent="0.35">
      <c r="A8" s="18" t="s">
        <v>327</v>
      </c>
      <c r="B8" s="5" t="s">
        <v>11</v>
      </c>
      <c r="C8" s="19" t="s">
        <v>37</v>
      </c>
      <c r="D8" s="19" t="s">
        <v>328</v>
      </c>
      <c r="E8" s="30">
        <v>177486</v>
      </c>
    </row>
    <row r="9" spans="1:5" x14ac:dyDescent="0.35">
      <c r="A9" s="18" t="s">
        <v>329</v>
      </c>
      <c r="B9" s="5" t="s">
        <v>11</v>
      </c>
      <c r="C9" s="19" t="s">
        <v>16</v>
      </c>
      <c r="D9" s="19" t="s">
        <v>330</v>
      </c>
      <c r="E9" s="30">
        <v>1049384</v>
      </c>
    </row>
    <row r="10" spans="1:5" x14ac:dyDescent="0.35">
      <c r="A10" s="18" t="s">
        <v>327</v>
      </c>
      <c r="B10" s="5" t="s">
        <v>11</v>
      </c>
      <c r="C10" s="19" t="s">
        <v>33</v>
      </c>
      <c r="D10" s="19" t="s">
        <v>331</v>
      </c>
      <c r="E10" s="30">
        <v>355150</v>
      </c>
    </row>
    <row r="11" spans="1:5" x14ac:dyDescent="0.35">
      <c r="A11" s="18" t="s">
        <v>332</v>
      </c>
      <c r="B11" s="5" t="s">
        <v>11</v>
      </c>
      <c r="C11" s="19" t="s">
        <v>30</v>
      </c>
      <c r="D11" s="19" t="s">
        <v>281</v>
      </c>
      <c r="E11" s="30">
        <v>134219</v>
      </c>
    </row>
    <row r="12" spans="1:5" x14ac:dyDescent="0.35">
      <c r="A12" s="18" t="s">
        <v>333</v>
      </c>
      <c r="B12" s="5" t="s">
        <v>11</v>
      </c>
      <c r="C12" s="19" t="s">
        <v>31</v>
      </c>
      <c r="D12" s="19" t="s">
        <v>334</v>
      </c>
      <c r="E12" s="30">
        <v>409679</v>
      </c>
    </row>
    <row r="13" spans="1:5" x14ac:dyDescent="0.35">
      <c r="A13" s="18" t="s">
        <v>333</v>
      </c>
      <c r="B13" s="5" t="s">
        <v>11</v>
      </c>
      <c r="C13" s="19" t="s">
        <v>14</v>
      </c>
      <c r="D13" s="19" t="s">
        <v>335</v>
      </c>
      <c r="E13" s="30">
        <v>3544617</v>
      </c>
    </row>
    <row r="14" spans="1:5" x14ac:dyDescent="0.35">
      <c r="A14" s="18" t="s">
        <v>336</v>
      </c>
      <c r="B14" s="5" t="s">
        <v>11</v>
      </c>
      <c r="C14" s="19" t="s">
        <v>26</v>
      </c>
      <c r="D14" s="19" t="s">
        <v>89</v>
      </c>
      <c r="E14" s="30">
        <v>177664</v>
      </c>
    </row>
    <row r="15" spans="1:5" x14ac:dyDescent="0.35">
      <c r="A15" s="18" t="s">
        <v>337</v>
      </c>
      <c r="B15" s="5" t="s">
        <v>11</v>
      </c>
      <c r="C15" s="19" t="s">
        <v>12</v>
      </c>
      <c r="D15" s="19" t="s">
        <v>338</v>
      </c>
      <c r="E15" s="30">
        <v>4000000</v>
      </c>
    </row>
    <row r="16" spans="1:5" x14ac:dyDescent="0.35">
      <c r="A16" s="18" t="s">
        <v>333</v>
      </c>
      <c r="B16" s="5" t="s">
        <v>11</v>
      </c>
      <c r="C16" s="19" t="s">
        <v>18</v>
      </c>
      <c r="D16" s="19" t="s">
        <v>339</v>
      </c>
      <c r="E16" s="30">
        <v>172955</v>
      </c>
    </row>
    <row r="17" spans="1:5" x14ac:dyDescent="0.35">
      <c r="A17" s="18" t="s">
        <v>337</v>
      </c>
      <c r="B17" s="5" t="s">
        <v>11</v>
      </c>
      <c r="C17" s="19" t="s">
        <v>23</v>
      </c>
      <c r="D17" s="19" t="s">
        <v>292</v>
      </c>
      <c r="E17" s="30">
        <v>129097</v>
      </c>
    </row>
    <row r="18" spans="1:5" x14ac:dyDescent="0.35">
      <c r="A18" s="18" t="s">
        <v>340</v>
      </c>
      <c r="B18" s="5" t="s">
        <v>11</v>
      </c>
      <c r="C18" s="19" t="s">
        <v>23</v>
      </c>
      <c r="D18" s="19" t="s">
        <v>292</v>
      </c>
      <c r="E18" s="30">
        <v>483551</v>
      </c>
    </row>
    <row r="19" spans="1:5" x14ac:dyDescent="0.35">
      <c r="A19" s="7" t="s">
        <v>44</v>
      </c>
      <c r="B19" s="8"/>
      <c r="C19" s="8"/>
      <c r="D19" s="8"/>
      <c r="E19" s="31">
        <f>SUM(E4:E18)</f>
        <v>14140529</v>
      </c>
    </row>
    <row r="20" spans="1:5" x14ac:dyDescent="0.35">
      <c r="A20" s="18" t="s">
        <v>332</v>
      </c>
      <c r="B20" s="10" t="s">
        <v>45</v>
      </c>
      <c r="C20" s="19" t="s">
        <v>53</v>
      </c>
      <c r="D20" s="19" t="s">
        <v>341</v>
      </c>
      <c r="E20" s="30">
        <v>529812</v>
      </c>
    </row>
    <row r="21" spans="1:5" x14ac:dyDescent="0.35">
      <c r="A21" s="18" t="s">
        <v>342</v>
      </c>
      <c r="B21" s="10" t="s">
        <v>45</v>
      </c>
      <c r="C21" s="19" t="s">
        <v>46</v>
      </c>
      <c r="D21" s="19" t="s">
        <v>343</v>
      </c>
      <c r="E21" s="30">
        <v>60939</v>
      </c>
    </row>
    <row r="22" spans="1:5" x14ac:dyDescent="0.35">
      <c r="A22" s="18" t="s">
        <v>342</v>
      </c>
      <c r="B22" s="10" t="s">
        <v>45</v>
      </c>
      <c r="C22" s="19" t="s">
        <v>46</v>
      </c>
      <c r="D22" s="19" t="s">
        <v>344</v>
      </c>
      <c r="E22" s="30">
        <v>4144525</v>
      </c>
    </row>
    <row r="23" spans="1:5" x14ac:dyDescent="0.35">
      <c r="A23" s="18" t="s">
        <v>345</v>
      </c>
      <c r="B23" s="10" t="s">
        <v>45</v>
      </c>
      <c r="C23" s="19" t="s">
        <v>46</v>
      </c>
      <c r="D23" s="19" t="s">
        <v>213</v>
      </c>
      <c r="E23" s="30">
        <v>525317</v>
      </c>
    </row>
    <row r="24" spans="1:5" x14ac:dyDescent="0.35">
      <c r="A24" s="18" t="s">
        <v>325</v>
      </c>
      <c r="B24" s="10" t="s">
        <v>45</v>
      </c>
      <c r="C24" s="19" t="s">
        <v>46</v>
      </c>
      <c r="D24" s="19" t="s">
        <v>213</v>
      </c>
      <c r="E24" s="30">
        <v>88437</v>
      </c>
    </row>
    <row r="25" spans="1:5" x14ac:dyDescent="0.35">
      <c r="A25" s="18" t="s">
        <v>325</v>
      </c>
      <c r="B25" s="10" t="s">
        <v>45</v>
      </c>
      <c r="C25" s="19" t="s">
        <v>46</v>
      </c>
      <c r="D25" s="19" t="s">
        <v>344</v>
      </c>
      <c r="E25" s="30">
        <v>1768745</v>
      </c>
    </row>
    <row r="26" spans="1:5" x14ac:dyDescent="0.35">
      <c r="A26" s="18" t="s">
        <v>336</v>
      </c>
      <c r="B26" s="10" t="s">
        <v>45</v>
      </c>
      <c r="C26" s="19" t="s">
        <v>46</v>
      </c>
      <c r="D26" s="19" t="s">
        <v>344</v>
      </c>
      <c r="E26" s="30">
        <v>3553286</v>
      </c>
    </row>
    <row r="27" spans="1:5" x14ac:dyDescent="0.35">
      <c r="A27" s="18" t="s">
        <v>329</v>
      </c>
      <c r="B27" s="10" t="s">
        <v>45</v>
      </c>
      <c r="C27" s="19" t="s">
        <v>46</v>
      </c>
      <c r="D27" s="19" t="s">
        <v>344</v>
      </c>
      <c r="E27" s="30">
        <v>1778616</v>
      </c>
    </row>
    <row r="28" spans="1:5" x14ac:dyDescent="0.35">
      <c r="A28" s="18" t="s">
        <v>329</v>
      </c>
      <c r="B28" s="10" t="s">
        <v>45</v>
      </c>
      <c r="C28" s="19" t="s">
        <v>46</v>
      </c>
      <c r="D28" s="19" t="s">
        <v>346</v>
      </c>
      <c r="E28" s="30">
        <v>95000</v>
      </c>
    </row>
    <row r="29" spans="1:5" x14ac:dyDescent="0.35">
      <c r="A29" s="18" t="s">
        <v>347</v>
      </c>
      <c r="B29" s="10" t="s">
        <v>45</v>
      </c>
      <c r="C29" s="19" t="s">
        <v>46</v>
      </c>
      <c r="D29" s="19" t="s">
        <v>348</v>
      </c>
      <c r="E29" s="30">
        <v>1780381</v>
      </c>
    </row>
    <row r="30" spans="1:5" x14ac:dyDescent="0.35">
      <c r="A30" s="18" t="s">
        <v>333</v>
      </c>
      <c r="B30" s="10" t="s">
        <v>45</v>
      </c>
      <c r="C30" s="19" t="s">
        <v>46</v>
      </c>
      <c r="D30" s="19" t="s">
        <v>349</v>
      </c>
      <c r="E30" s="30">
        <v>3562429</v>
      </c>
    </row>
    <row r="31" spans="1:5" x14ac:dyDescent="0.35">
      <c r="A31" s="7" t="s">
        <v>59</v>
      </c>
      <c r="B31" s="8"/>
      <c r="C31" s="8"/>
      <c r="D31" s="8"/>
      <c r="E31" s="31">
        <f>SUM(E20:E30)</f>
        <v>17887487</v>
      </c>
    </row>
    <row r="32" spans="1:5" x14ac:dyDescent="0.35">
      <c r="A32" s="18" t="s">
        <v>347</v>
      </c>
      <c r="B32" s="12" t="s">
        <v>60</v>
      </c>
      <c r="C32" s="19" t="s">
        <v>61</v>
      </c>
      <c r="D32" s="19" t="s">
        <v>350</v>
      </c>
      <c r="E32" s="30">
        <v>40000</v>
      </c>
    </row>
    <row r="33" spans="1:5" x14ac:dyDescent="0.35">
      <c r="A33" s="18" t="s">
        <v>332</v>
      </c>
      <c r="B33" s="12" t="s">
        <v>60</v>
      </c>
      <c r="C33" s="19" t="s">
        <v>62</v>
      </c>
      <c r="D33" s="19" t="s">
        <v>126</v>
      </c>
      <c r="E33" s="30">
        <v>5000</v>
      </c>
    </row>
    <row r="34" spans="1:5" x14ac:dyDescent="0.35">
      <c r="A34" s="18" t="s">
        <v>345</v>
      </c>
      <c r="B34" s="12" t="s">
        <v>60</v>
      </c>
      <c r="C34" s="19" t="s">
        <v>62</v>
      </c>
      <c r="D34" s="19" t="s">
        <v>126</v>
      </c>
      <c r="E34" s="30">
        <v>5000</v>
      </c>
    </row>
    <row r="35" spans="1:5" x14ac:dyDescent="0.35">
      <c r="A35" s="18" t="s">
        <v>325</v>
      </c>
      <c r="B35" s="12" t="s">
        <v>60</v>
      </c>
      <c r="C35" s="19" t="s">
        <v>62</v>
      </c>
      <c r="D35" s="19" t="s">
        <v>126</v>
      </c>
      <c r="E35" s="30">
        <v>5000</v>
      </c>
    </row>
    <row r="36" spans="1:5" x14ac:dyDescent="0.35">
      <c r="A36" s="18" t="s">
        <v>336</v>
      </c>
      <c r="B36" s="12" t="s">
        <v>60</v>
      </c>
      <c r="C36" s="19" t="s">
        <v>62</v>
      </c>
      <c r="D36" s="19" t="s">
        <v>126</v>
      </c>
      <c r="E36" s="30">
        <v>5000</v>
      </c>
    </row>
    <row r="37" spans="1:5" x14ac:dyDescent="0.35">
      <c r="A37" s="18" t="s">
        <v>351</v>
      </c>
      <c r="B37" s="12" t="s">
        <v>60</v>
      </c>
      <c r="C37" s="19" t="s">
        <v>62</v>
      </c>
      <c r="D37" s="19" t="s">
        <v>126</v>
      </c>
      <c r="E37" s="30">
        <v>5000</v>
      </c>
    </row>
    <row r="38" spans="1:5" x14ac:dyDescent="0.35">
      <c r="A38" s="18" t="s">
        <v>327</v>
      </c>
      <c r="B38" s="12" t="s">
        <v>60</v>
      </c>
      <c r="C38" s="19" t="s">
        <v>62</v>
      </c>
      <c r="D38" s="19" t="s">
        <v>126</v>
      </c>
      <c r="E38" s="30">
        <v>5000</v>
      </c>
    </row>
    <row r="39" spans="1:5" x14ac:dyDescent="0.35">
      <c r="A39" s="18" t="s">
        <v>329</v>
      </c>
      <c r="B39" s="12" t="s">
        <v>60</v>
      </c>
      <c r="C39" s="19" t="s">
        <v>62</v>
      </c>
      <c r="D39" s="19" t="s">
        <v>126</v>
      </c>
      <c r="E39" s="30">
        <v>5000</v>
      </c>
    </row>
    <row r="40" spans="1:5" x14ac:dyDescent="0.35">
      <c r="A40" s="18" t="s">
        <v>321</v>
      </c>
      <c r="B40" s="12" t="s">
        <v>60</v>
      </c>
      <c r="C40" s="19" t="s">
        <v>62</v>
      </c>
      <c r="D40" s="19" t="s">
        <v>126</v>
      </c>
      <c r="E40" s="30">
        <v>5000</v>
      </c>
    </row>
    <row r="41" spans="1:5" x14ac:dyDescent="0.35">
      <c r="A41" s="18" t="s">
        <v>333</v>
      </c>
      <c r="B41" s="12" t="s">
        <v>60</v>
      </c>
      <c r="C41" s="19" t="s">
        <v>62</v>
      </c>
      <c r="D41" s="19" t="s">
        <v>126</v>
      </c>
      <c r="E41" s="30">
        <v>5000</v>
      </c>
    </row>
    <row r="42" spans="1:5" x14ac:dyDescent="0.35">
      <c r="A42" s="7" t="s">
        <v>64</v>
      </c>
      <c r="B42" s="8"/>
      <c r="C42" s="8"/>
      <c r="D42" s="8"/>
      <c r="E42" s="31">
        <f>SUM(E32:E41)</f>
        <v>85000</v>
      </c>
    </row>
    <row r="43" spans="1:5" x14ac:dyDescent="0.35">
      <c r="A43" s="18" t="s">
        <v>332</v>
      </c>
      <c r="B43" s="14" t="s">
        <v>65</v>
      </c>
      <c r="C43" s="19" t="s">
        <v>66</v>
      </c>
      <c r="D43" s="19" t="s">
        <v>352</v>
      </c>
      <c r="E43" s="30">
        <v>1200000</v>
      </c>
    </row>
    <row r="44" spans="1:5" x14ac:dyDescent="0.35">
      <c r="A44" s="18" t="s">
        <v>342</v>
      </c>
      <c r="B44" s="14" t="s">
        <v>65</v>
      </c>
      <c r="C44" s="19" t="s">
        <v>66</v>
      </c>
      <c r="D44" s="19" t="s">
        <v>352</v>
      </c>
      <c r="E44" s="30">
        <v>700000</v>
      </c>
    </row>
    <row r="45" spans="1:5" x14ac:dyDescent="0.35">
      <c r="A45" s="18" t="s">
        <v>353</v>
      </c>
      <c r="B45" s="14" t="s">
        <v>65</v>
      </c>
      <c r="C45" s="19" t="s">
        <v>66</v>
      </c>
      <c r="D45" s="19" t="s">
        <v>315</v>
      </c>
      <c r="E45" s="30">
        <v>4900000</v>
      </c>
    </row>
    <row r="46" spans="1:5" x14ac:dyDescent="0.35">
      <c r="A46" s="18" t="s">
        <v>327</v>
      </c>
      <c r="B46" s="14" t="s">
        <v>65</v>
      </c>
      <c r="C46" s="19" t="s">
        <v>66</v>
      </c>
      <c r="D46" s="19" t="s">
        <v>315</v>
      </c>
      <c r="E46" s="30">
        <v>5600000</v>
      </c>
    </row>
    <row r="47" spans="1:5" x14ac:dyDescent="0.35">
      <c r="A47" s="18" t="s">
        <v>347</v>
      </c>
      <c r="B47" s="14" t="s">
        <v>65</v>
      </c>
      <c r="C47" s="19" t="s">
        <v>66</v>
      </c>
      <c r="D47" s="19" t="s">
        <v>354</v>
      </c>
      <c r="E47" s="30">
        <v>100000</v>
      </c>
    </row>
    <row r="48" spans="1:5" x14ac:dyDescent="0.35">
      <c r="A48" s="18" t="s">
        <v>333</v>
      </c>
      <c r="B48" s="14" t="s">
        <v>65</v>
      </c>
      <c r="C48" s="19" t="s">
        <v>66</v>
      </c>
      <c r="D48" s="19" t="s">
        <v>355</v>
      </c>
      <c r="E48" s="30">
        <v>20000000</v>
      </c>
    </row>
    <row r="49" spans="1:5" x14ac:dyDescent="0.35">
      <c r="A49" s="18" t="s">
        <v>333</v>
      </c>
      <c r="B49" s="14" t="s">
        <v>65</v>
      </c>
      <c r="C49" s="19" t="s">
        <v>66</v>
      </c>
      <c r="D49" s="19" t="s">
        <v>356</v>
      </c>
      <c r="E49" s="30">
        <v>4000000</v>
      </c>
    </row>
    <row r="50" spans="1:5" x14ac:dyDescent="0.35">
      <c r="A50" s="18" t="s">
        <v>337</v>
      </c>
      <c r="B50" s="14" t="s">
        <v>65</v>
      </c>
      <c r="C50" s="19" t="s">
        <v>67</v>
      </c>
      <c r="D50" s="19" t="s">
        <v>156</v>
      </c>
      <c r="E50" s="30">
        <v>411640</v>
      </c>
    </row>
    <row r="51" spans="1:5" x14ac:dyDescent="0.35">
      <c r="A51" s="18" t="s">
        <v>337</v>
      </c>
      <c r="B51" s="14" t="s">
        <v>65</v>
      </c>
      <c r="C51" s="19" t="s">
        <v>67</v>
      </c>
      <c r="D51" s="19" t="s">
        <v>156</v>
      </c>
      <c r="E51" s="30">
        <v>600000</v>
      </c>
    </row>
    <row r="52" spans="1:5" x14ac:dyDescent="0.35">
      <c r="A52" s="18" t="s">
        <v>332</v>
      </c>
      <c r="B52" s="14" t="s">
        <v>65</v>
      </c>
      <c r="C52" s="19" t="s">
        <v>67</v>
      </c>
      <c r="D52" s="19" t="s">
        <v>156</v>
      </c>
      <c r="E52" s="30">
        <v>55000</v>
      </c>
    </row>
    <row r="53" spans="1:5" x14ac:dyDescent="0.35">
      <c r="A53" s="18" t="s">
        <v>332</v>
      </c>
      <c r="B53" s="14" t="s">
        <v>65</v>
      </c>
      <c r="C53" s="19" t="s">
        <v>67</v>
      </c>
      <c r="D53" s="19" t="s">
        <v>156</v>
      </c>
      <c r="E53" s="30">
        <v>50000</v>
      </c>
    </row>
    <row r="54" spans="1:5" x14ac:dyDescent="0.35">
      <c r="A54" s="18" t="s">
        <v>332</v>
      </c>
      <c r="B54" s="14" t="s">
        <v>65</v>
      </c>
      <c r="C54" s="19" t="s">
        <v>67</v>
      </c>
      <c r="D54" s="19" t="s">
        <v>156</v>
      </c>
      <c r="E54" s="30">
        <v>123000</v>
      </c>
    </row>
    <row r="55" spans="1:5" x14ac:dyDescent="0.35">
      <c r="A55" s="7" t="s">
        <v>68</v>
      </c>
      <c r="B55" s="8"/>
      <c r="C55" s="8"/>
      <c r="D55" s="8"/>
      <c r="E55" s="31">
        <f>SUM(E43:E54)</f>
        <v>37739640</v>
      </c>
    </row>
    <row r="57" spans="1:5" ht="21.75" customHeight="1" x14ac:dyDescent="0.35">
      <c r="A57" s="15" t="s">
        <v>135</v>
      </c>
      <c r="B57" s="16"/>
      <c r="C57" s="16"/>
      <c r="D57" s="16"/>
      <c r="E57" s="31">
        <f>E19+E31+E42+E55</f>
        <v>69852656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workbookViewId="0"/>
  </sheetViews>
  <sheetFormatPr defaultColWidth="8.6328125" defaultRowHeight="14.5" x14ac:dyDescent="0.35"/>
  <cols>
    <col min="1" max="1" width="25" customWidth="1"/>
    <col min="2" max="2" width="55" customWidth="1"/>
    <col min="3" max="3" width="65" customWidth="1"/>
  </cols>
  <sheetData>
    <row r="1" spans="1:3" ht="27.75" customHeight="1" x14ac:dyDescent="0.35">
      <c r="A1" s="2" t="s">
        <v>357</v>
      </c>
      <c r="B1" s="2"/>
      <c r="C1" s="2"/>
    </row>
    <row r="3" spans="1:3" x14ac:dyDescent="0.35">
      <c r="A3" s="3" t="s">
        <v>2</v>
      </c>
      <c r="B3" s="3" t="s">
        <v>358</v>
      </c>
      <c r="C3" s="3" t="s">
        <v>359</v>
      </c>
    </row>
    <row r="4" spans="1:3" ht="90" customHeight="1" x14ac:dyDescent="0.35">
      <c r="A4" s="4" t="s">
        <v>11</v>
      </c>
      <c r="B4" s="20" t="s">
        <v>360</v>
      </c>
      <c r="C4" s="20" t="s">
        <v>361</v>
      </c>
    </row>
    <row r="5" spans="1:3" ht="90" customHeight="1" x14ac:dyDescent="0.35">
      <c r="A5" s="9" t="s">
        <v>45</v>
      </c>
      <c r="B5" s="20" t="s">
        <v>362</v>
      </c>
      <c r="C5" s="20" t="s">
        <v>363</v>
      </c>
    </row>
    <row r="6" spans="1:3" ht="90" customHeight="1" x14ac:dyDescent="0.35">
      <c r="A6" s="11" t="s">
        <v>60</v>
      </c>
      <c r="B6" s="20" t="s">
        <v>364</v>
      </c>
      <c r="C6" s="20" t="s">
        <v>365</v>
      </c>
    </row>
    <row r="7" spans="1:3" ht="90" customHeight="1" x14ac:dyDescent="0.35">
      <c r="A7" s="13" t="s">
        <v>65</v>
      </c>
      <c r="B7" s="20" t="s">
        <v>366</v>
      </c>
      <c r="C7" s="20" t="s">
        <v>367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November 2025</vt:lpstr>
      <vt:lpstr>Desember 2025</vt:lpstr>
      <vt:lpstr>Januari 2026</vt:lpstr>
      <vt:lpstr>Februari 2026</vt:lpstr>
      <vt:lpstr>Maret 2026</vt:lpstr>
      <vt:lpstr>April 2026</vt:lpstr>
      <vt:lpstr>Legenda 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 Predator Helios Neo</cp:lastModifiedBy>
  <cp:revision>0</cp:revision>
  <dcterms:created xsi:type="dcterms:W3CDTF">2026-04-21T18:10:09Z</dcterms:created>
  <dcterms:modified xsi:type="dcterms:W3CDTF">2026-04-22T18:17:47Z</dcterms:modified>
  <dc:language>en-US</dc:language>
</cp:coreProperties>
</file>